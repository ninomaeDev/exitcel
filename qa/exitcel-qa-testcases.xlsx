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Default Extension="gif" ContentType="image/gif"/>
  <Default Extension="bmp" ContentType="image/bmp"/>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サマリ" sheetId="1" r:id="rId1"/>
    <sheet name="テストケース一覧" sheetId="2" r:id="rId2"/>
    <sheet name="不具合一覧" sheetId="3" r:id="rId3"/>
  </sheets>
</workbook>
</file>

<file path=xl/styles.xml><?xml version="1.0" encoding="utf-8"?>
<styleSheet xmlns="http://schemas.openxmlformats.org/spreadsheetml/2006/main">
  <numFmts count="4">
    <numFmt numFmtId="164" formatCode="yyyy/mm/dd"/>
    <numFmt numFmtId="165" formatCode="hh:mm"/>
    <numFmt numFmtId="166" formatCode="¥#,##0"/>
    <numFmt numFmtId="167" formatCode="hh:mm:ss"/>
  </numFmts>
  <fonts count="5">
    <font>
      <sz val="11"/>
      <color theme="1"/>
      <name val="Yu Gothic UI"/>
      <family val="2"/>
    </font>
    <font>
      <b/>
      <sz val="11"/>
      <color theme="1"/>
      <name val="Yu Gothic UI"/>
      <family val="2"/>
    </font>
    <font>
      <sz val="11"/>
      <color theme="1"/>
      <name val="Yu Gothic UI"/>
      <family val="2"/>
    </font>
    <font>
      <b/>
      <sz val="11"/>
      <color rgb="FF1A7F37"/>
      <name val="Yu Gothic UI"/>
      <family val="2"/>
    </font>
    <font>
      <b/>
      <sz val="11"/>
      <color rgb="FFC0392B"/>
      <name val="Yu Gothic UI"/>
      <family val="2"/>
    </font>
  </fonts>
  <fills count="3">
    <fill>
      <patternFill patternType="none"/>
    </fill>
    <fill>
      <patternFill patternType="gray125"/>
    </fill>
    <fill>
      <patternFill patternType="solid">
        <fgColor rgb="FFE8F1FB"/>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xf numFmtId="10" fontId="2" fillId="0" borderId="0" xfId="0" applyNumberFormat="1" applyFont="1"/>
    <xf numFmtId="0" fontId="3" fillId="0" borderId="0" xfId="0" applyFont="1"/>
    <xf numFmtId="0" fontId="4" fillId="0" borderId="0" xfId="0" applyFont="1"/>
    <xf numFmtId="164" fontId="2" fillId="0" borderId="0" xfId="0" applyNumberFormat="1" applyFont="1"/>
    <xf numFmtId="165" fontId="2" fillId="0" borderId="0" xfId="0" applyNumberFormat="1" applyFont="1"/>
    <xf numFmtId="3" fontId="2" fillId="0" borderId="0" xfId="0" applyNumberFormat="1" applyFont="1"/>
    <xf numFmtId="166" fontId="2" fillId="0" borderId="0" xfId="0" applyNumberFormat="1" applyFont="1"/>
    <xf numFmtId="167" fontId="2" fillId="0" borderId="0" xfId="0" applyNumberFormat="1"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Styles"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33"/>
  <sheetViews>
    <sheetView tabSelected="1" workbookViewId="0">
      <pane xSplit="0" ySplit="1" topLeftCell="A2" activePane="bottomRight" state="frozen"/>
    </sheetView>
  </sheetViews>
  <sheetFormatPr defaultRowHeight="16.5"/>
  <cols>
    <col min="1" max="1" width="36.43" customWidth="1"/>
    <col min="2" max="2" width="87.86" customWidth="1"/>
  </cols>
  <sheetData>
    <row r="1">
      <c r="A1" s="1" t="inlineStr">
        <is>
          <t xml:space="preserve">項目</t>
        </is>
      </c>
      <c r="B1" s="1" t="inlineStr">
        <is>
          <t xml:space="preserve">内容</t>
        </is>
      </c>
    </row>
    <row r="2">
      <c r="A2" t="inlineStr">
        <is>
          <t xml:space="preserve">テスト対象</t>
        </is>
      </c>
      <c r="B2" t="inlineStr">
        <is>
          <t xml:space="preserve">Exitcel v1.0（ローカル完結型 Web 表計算アプリ / 約6,000行・JavaScript）</t>
        </is>
      </c>
    </row>
    <row r="3">
      <c r="A3" t="inlineStr">
        <is>
          <t xml:space="preserve">テスト種別</t>
        </is>
      </c>
      <c r="B3" t="inlineStr">
        <is>
          <t xml:space="preserve">機能テスト・境界値テスト・異常系テスト・性能テスト・回帰テスト</t>
        </is>
      </c>
    </row>
    <row r="4">
      <c r="A4" t="inlineStr">
        <is>
          <t xml:space="preserve">テストケース数</t>
        </is>
      </c>
      <c r="B4">
        <v>292</v>
      </c>
    </row>
    <row r="5">
      <c r="A5" t="inlineStr">
        <is>
          <t xml:space="preserve">実行数</t>
        </is>
      </c>
      <c r="B5">
        <v>292</v>
      </c>
    </row>
    <row r="6">
      <c r="A6" t="inlineStr">
        <is>
          <t xml:space="preserve">合格</t>
        </is>
      </c>
      <c r="B6">
        <v>274</v>
      </c>
    </row>
    <row r="7">
      <c r="A7" t="inlineStr">
        <is>
          <t xml:space="preserve">不合格</t>
        </is>
      </c>
      <c r="B7">
        <v>18</v>
      </c>
    </row>
    <row r="8">
      <c r="A8" t="inlineStr">
        <is>
          <t xml:space="preserve">合格率</t>
        </is>
      </c>
      <c r="B8" s="2">
        <v>0.938</v>
      </c>
    </row>
    <row r="9">
      <c r="A9" t="inlineStr">
        <is>
          <t xml:space="preserve">起票した不具合</t>
        </is>
      </c>
      <c r="B9">
        <v>9</v>
      </c>
    </row>
    <row r="10">
      <c r="A10" t="inlineStr">
        <is>
          <t xml:space="preserve">実行環境</t>
        </is>
      </c>
      <c r="B10" t="inlineStr">
        <is>
          <t xml:space="preserve">Windows 11 / Node.js（ロジック層）/ Chromium ブラウザ実機（UI層）</t>
        </is>
      </c>
    </row>
    <row r="12">
      <c r="A12" t="inlineStr">
        <is>
          <t xml:space="preserve">カテゴリ</t>
        </is>
      </c>
      <c r="B12" t="inlineStr">
        <is>
          <t xml:space="preserve">合格 / 実行</t>
        </is>
      </c>
    </row>
    <row r="13">
      <c r="A13" t="inlineStr">
        <is>
          <t xml:space="preserve">UI操作</t>
        </is>
      </c>
      <c r="B13" t="inlineStr">
        <is>
          <t xml:space="preserve">29 / 30</t>
        </is>
      </c>
    </row>
    <row r="14">
      <c r="A14" t="inlineStr">
        <is>
          <t xml:space="preserve">エラー処理</t>
        </is>
      </c>
      <c r="B14" t="inlineStr">
        <is>
          <t xml:space="preserve">10 / 10</t>
        </is>
      </c>
    </row>
    <row r="15">
      <c r="A15" t="inlineStr">
        <is>
          <t xml:space="preserve">クリップボード</t>
        </is>
      </c>
      <c r="B15" t="inlineStr">
        <is>
          <t xml:space="preserve">4 / 4</t>
        </is>
      </c>
    </row>
    <row r="16">
      <c r="A16" t="inlineStr">
        <is>
          <t xml:space="preserve">データツール</t>
        </is>
      </c>
      <c r="B16" t="inlineStr">
        <is>
          <t xml:space="preserve">3 / 3</t>
        </is>
      </c>
    </row>
    <row r="17">
      <c r="A17" t="inlineStr">
        <is>
          <t xml:space="preserve">ファイル入出力</t>
        </is>
      </c>
      <c r="B17" t="inlineStr">
        <is>
          <t xml:space="preserve">8 / 8</t>
        </is>
      </c>
    </row>
    <row r="18">
      <c r="A18" t="inlineStr">
        <is>
          <t xml:space="preserve">入出力</t>
        </is>
      </c>
      <c r="B18" t="inlineStr">
        <is>
          <t xml:space="preserve">19 / 20</t>
        </is>
      </c>
    </row>
    <row r="19">
      <c r="A19" t="inlineStr">
        <is>
          <t xml:space="preserve">入力解析</t>
        </is>
      </c>
      <c r="B19" t="inlineStr">
        <is>
          <t xml:space="preserve">15 / 15</t>
        </is>
      </c>
    </row>
    <row r="20">
      <c r="A20" t="inlineStr">
        <is>
          <t xml:space="preserve">参照</t>
        </is>
      </c>
      <c r="B20" t="inlineStr">
        <is>
          <t xml:space="preserve">10 / 10</t>
        </is>
      </c>
    </row>
    <row r="21">
      <c r="A21" t="inlineStr">
        <is>
          <t xml:space="preserve">性能</t>
        </is>
      </c>
      <c r="B21" t="inlineStr">
        <is>
          <t xml:space="preserve">5 / 5</t>
        </is>
      </c>
    </row>
    <row r="22">
      <c r="A22" t="inlineStr">
        <is>
          <t xml:space="preserve">数式エンジン</t>
        </is>
      </c>
      <c r="B22" t="inlineStr">
        <is>
          <t xml:space="preserve">22 / 22</t>
        </is>
      </c>
    </row>
    <row r="23">
      <c r="A23" t="inlineStr">
        <is>
          <t xml:space="preserve">行列操作</t>
        </is>
      </c>
      <c r="B23" t="inlineStr">
        <is>
          <t xml:space="preserve">11 / 12</t>
        </is>
      </c>
    </row>
    <row r="24">
      <c r="A24" t="inlineStr">
        <is>
          <t xml:space="preserve">表示形式</t>
        </is>
      </c>
      <c r="B24" t="inlineStr">
        <is>
          <t xml:space="preserve">16 / 17</t>
        </is>
      </c>
    </row>
    <row r="25">
      <c r="A25" t="inlineStr">
        <is>
          <t xml:space="preserve">関数(情報)</t>
        </is>
      </c>
      <c r="B25" t="inlineStr">
        <is>
          <t xml:space="preserve">6 / 6</t>
        </is>
      </c>
    </row>
    <row r="26">
      <c r="A26" t="inlineStr">
        <is>
          <t xml:space="preserve">関数(数値)</t>
        </is>
      </c>
      <c r="B26" t="inlineStr">
        <is>
          <t xml:space="preserve">21 / 25</t>
        </is>
      </c>
    </row>
    <row r="27">
      <c r="A27" t="inlineStr">
        <is>
          <t xml:space="preserve">関数(文字列)</t>
        </is>
      </c>
      <c r="B27" t="inlineStr">
        <is>
          <t xml:space="preserve">23 / 25</t>
        </is>
      </c>
    </row>
    <row r="28">
      <c r="A28" t="inlineStr">
        <is>
          <t xml:space="preserve">関数(日付)</t>
        </is>
      </c>
      <c r="B28" t="inlineStr">
        <is>
          <t xml:space="preserve">13 / 19</t>
        </is>
      </c>
    </row>
    <row r="29">
      <c r="A29" t="inlineStr">
        <is>
          <t xml:space="preserve">関数(条件集計)</t>
        </is>
      </c>
      <c r="B29" t="inlineStr">
        <is>
          <t xml:space="preserve">10 / 12</t>
        </is>
      </c>
    </row>
    <row r="30">
      <c r="A30" t="inlineStr">
        <is>
          <t xml:space="preserve">関数(検索)</t>
        </is>
      </c>
      <c r="B30" t="inlineStr">
        <is>
          <t xml:space="preserve">18 / 18</t>
        </is>
      </c>
    </row>
    <row r="31">
      <c r="A31" t="inlineStr">
        <is>
          <t xml:space="preserve">関数(統計)</t>
        </is>
      </c>
      <c r="B31" t="inlineStr">
        <is>
          <t xml:space="preserve">19 / 19</t>
        </is>
      </c>
    </row>
    <row r="32">
      <c r="A32" t="inlineStr">
        <is>
          <t xml:space="preserve">関数(論理)</t>
        </is>
      </c>
      <c r="B32" t="inlineStr">
        <is>
          <t xml:space="preserve">9 / 9</t>
        </is>
      </c>
    </row>
    <row r="33">
      <c r="A33" t="inlineStr">
        <is>
          <t xml:space="preserve">関数(財務)</t>
        </is>
      </c>
      <c r="B33" t="inlineStr">
        <is>
          <t xml:space="preserve">3 / 3</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93"/>
  <sheetViews>
    <sheetView workbookViewId="0">
      <pane xSplit="0" ySplit="1" topLeftCell="A2" activePane="bottomRight" state="frozen"/>
    </sheetView>
  </sheetViews>
  <sheetFormatPr defaultRowHeight="16.5"/>
  <cols>
    <col min="1" max="1" width="13" customWidth="1"/>
    <col min="2" max="2" width="18.14" customWidth="1"/>
    <col min="3" max="3" width="46.43" customWidth="1"/>
    <col min="4" max="4" width="15" customWidth="1"/>
    <col min="5" max="5" width="29.29" customWidth="1"/>
    <col min="6" max="6" width="42.14" customWidth="1"/>
    <col min="7" max="7" width="30.71" customWidth="1"/>
    <col min="8" max="8" width="30.71" customWidth="1"/>
    <col min="9" max="9" width="8.71" customWidth="1"/>
  </cols>
  <sheetData>
    <row r="1">
      <c r="A1" s="1" t="inlineStr">
        <is>
          <t xml:space="preserve">ケースID</t>
        </is>
      </c>
      <c r="B1" s="1" t="inlineStr">
        <is>
          <t xml:space="preserve">大分類</t>
        </is>
      </c>
      <c r="C1" s="1" t="inlineStr">
        <is>
          <t xml:space="preserve">テスト観点</t>
        </is>
      </c>
      <c r="D1" s="1" t="inlineStr">
        <is>
          <t xml:space="preserve">テスト技法</t>
        </is>
      </c>
      <c r="E1" s="1" t="inlineStr">
        <is>
          <t xml:space="preserve">前提条件</t>
        </is>
      </c>
      <c r="F1" s="1" t="inlineStr">
        <is>
          <t xml:space="preserve">テスト手順</t>
        </is>
      </c>
      <c r="G1" s="1" t="inlineStr">
        <is>
          <t xml:space="preserve">期待結果</t>
        </is>
      </c>
      <c r="H1" s="1" t="inlineStr">
        <is>
          <t xml:space="preserve">実行結果</t>
        </is>
      </c>
      <c r="I1" s="1" t="inlineStr">
        <is>
          <t xml:space="preserve">判定</t>
        </is>
      </c>
    </row>
    <row r="2">
      <c r="A2" t="inlineStr">
        <is>
          <t xml:space="preserve">TC-A-001</t>
        </is>
      </c>
      <c r="B2" t="inlineStr">
        <is>
          <t xml:space="preserve">数式エンジン</t>
        </is>
      </c>
      <c r="C2" t="inlineStr">
        <is>
          <t xml:space="preserve">四則演算と優先順位</t>
        </is>
      </c>
      <c r="D2" t="inlineStr">
        <is>
          <t xml:space="preserve">正常系</t>
        </is>
      </c>
      <c r="E2" t="inlineStr">
        <is>
          <t xml:space="preserve">-</t>
        </is>
      </c>
      <c r="F2" t="e">
        <f>1+2*3 を入力</f>
        <v>#NAME?</v>
      </c>
      <c r="G2">
        <v>7</v>
      </c>
      <c r="H2">
        <v>7</v>
      </c>
      <c r="I2" s="3" t="inlineStr">
        <is>
          <t xml:space="preserve">PASS</t>
        </is>
      </c>
    </row>
    <row r="3">
      <c r="A3" t="inlineStr">
        <is>
          <t xml:space="preserve">TC-A-002</t>
        </is>
      </c>
      <c r="B3" t="inlineStr">
        <is>
          <t xml:space="preserve">数式エンジン</t>
        </is>
      </c>
      <c r="C3" t="inlineStr">
        <is>
          <t xml:space="preserve">括弧による優先順位の上書き</t>
        </is>
      </c>
      <c r="D3" t="inlineStr">
        <is>
          <t xml:space="preserve">正常系</t>
        </is>
      </c>
      <c r="E3" t="inlineStr">
        <is>
          <t xml:space="preserve">-</t>
        </is>
      </c>
      <c r="F3" t="e">
        <f>(1+2)*3 を入力</f>
        <v>#NAME?</v>
      </c>
      <c r="G3">
        <v>9</v>
      </c>
      <c r="H3">
        <v>9</v>
      </c>
      <c r="I3" s="3" t="inlineStr">
        <is>
          <t xml:space="preserve">PASS</t>
        </is>
      </c>
    </row>
    <row r="4">
      <c r="A4" t="inlineStr">
        <is>
          <t xml:space="preserve">TC-A-003</t>
        </is>
      </c>
      <c r="B4" t="inlineStr">
        <is>
          <t xml:space="preserve">数式エンジン</t>
        </is>
      </c>
      <c r="C4" t="inlineStr">
        <is>
          <t xml:space="preserve">べき乗の結合則(Excelは左結合)</t>
        </is>
      </c>
      <c r="D4" t="inlineStr">
        <is>
          <t xml:space="preserve">境界値</t>
        </is>
      </c>
      <c r="E4" t="inlineStr">
        <is>
          <t xml:space="preserve">-</t>
        </is>
      </c>
      <c r="F4" t="e">
        <f>2^3^2 を入力</f>
        <v>#NAME?</v>
      </c>
      <c r="G4">
        <v>64</v>
      </c>
      <c r="H4">
        <v>64</v>
      </c>
      <c r="I4" s="3" t="inlineStr">
        <is>
          <t xml:space="preserve">PASS</t>
        </is>
      </c>
    </row>
    <row r="5">
      <c r="A5" t="inlineStr">
        <is>
          <t xml:space="preserve">TC-A-004</t>
        </is>
      </c>
      <c r="B5" t="inlineStr">
        <is>
          <t xml:space="preserve">数式エンジン</t>
        </is>
      </c>
      <c r="C5" t="inlineStr">
        <is>
          <t xml:space="preserve">単項マイナスとべき乗の優先順位</t>
        </is>
      </c>
      <c r="D5" t="inlineStr">
        <is>
          <t xml:space="preserve">境界値</t>
        </is>
      </c>
      <c r="E5" t="inlineStr">
        <is>
          <t xml:space="preserve">-</t>
        </is>
      </c>
      <c r="F5" t="e">
        <f>-2^2 を入力</f>
        <v>#NAME?</v>
      </c>
      <c r="G5">
        <v>4</v>
      </c>
      <c r="H5">
        <v>4</v>
      </c>
      <c r="I5" s="3" t="inlineStr">
        <is>
          <t xml:space="preserve">PASS</t>
        </is>
      </c>
    </row>
    <row r="6">
      <c r="A6" t="inlineStr">
        <is>
          <t xml:space="preserve">TC-A-005</t>
        </is>
      </c>
      <c r="B6" t="inlineStr">
        <is>
          <t xml:space="preserve">数式エンジン</t>
        </is>
      </c>
      <c r="C6" t="inlineStr">
        <is>
          <t xml:space="preserve">割り算(小数結果)</t>
        </is>
      </c>
      <c r="D6" t="inlineStr">
        <is>
          <t xml:space="preserve">正常系</t>
        </is>
      </c>
      <c r="E6" t="inlineStr">
        <is>
          <t xml:space="preserve">-</t>
        </is>
      </c>
      <c r="F6" t="e">
        <f>10/4 を入力</f>
        <v>#NAME?</v>
      </c>
      <c r="G6">
        <v>2.5</v>
      </c>
      <c r="H6">
        <v>2.5</v>
      </c>
      <c r="I6" s="3" t="inlineStr">
        <is>
          <t xml:space="preserve">PASS</t>
        </is>
      </c>
    </row>
    <row r="7">
      <c r="A7" t="inlineStr">
        <is>
          <t xml:space="preserve">TC-A-006</t>
        </is>
      </c>
      <c r="B7" t="inlineStr">
        <is>
          <t xml:space="preserve">数式エンジン</t>
        </is>
      </c>
      <c r="C7" t="inlineStr">
        <is>
          <t xml:space="preserve">パーセント演算子</t>
        </is>
      </c>
      <c r="D7" t="inlineStr">
        <is>
          <t xml:space="preserve">正常系</t>
        </is>
      </c>
      <c r="E7" t="inlineStr">
        <is>
          <t xml:space="preserve">-</t>
        </is>
      </c>
      <c r="F7" t="e">
        <f>50% を入力</f>
        <v>#NAME?</v>
      </c>
      <c r="G7">
        <v>0.5</v>
      </c>
      <c r="H7">
        <v>0.5</v>
      </c>
      <c r="I7" s="3" t="inlineStr">
        <is>
          <t xml:space="preserve">PASS</t>
        </is>
      </c>
    </row>
    <row r="8">
      <c r="A8" t="inlineStr">
        <is>
          <t xml:space="preserve">TC-A-007</t>
        </is>
      </c>
      <c r="B8" t="inlineStr">
        <is>
          <t xml:space="preserve">数式エンジン</t>
        </is>
      </c>
      <c r="C8" t="inlineStr">
        <is>
          <t xml:space="preserve">文字列連結演算子</t>
        </is>
      </c>
      <c r="D8" t="inlineStr">
        <is>
          <t xml:space="preserve">正常系</t>
        </is>
      </c>
      <c r="E8" t="inlineStr">
        <is>
          <t xml:space="preserve">A1=abc</t>
        </is>
      </c>
      <c r="F8" t="e">
        <f>A1&amp;123 を入力</f>
        <v>#NAME?</v>
      </c>
      <c r="G8" t="inlineStr">
        <is>
          <t xml:space="preserve">abc123</t>
        </is>
      </c>
      <c r="H8" t="inlineStr">
        <is>
          <t xml:space="preserve">abc123</t>
        </is>
      </c>
      <c r="I8" s="3" t="inlineStr">
        <is>
          <t xml:space="preserve">PASS</t>
        </is>
      </c>
    </row>
    <row r="9">
      <c r="A9" t="inlineStr">
        <is>
          <t xml:space="preserve">TC-A-008</t>
        </is>
      </c>
      <c r="B9" t="inlineStr">
        <is>
          <t xml:space="preserve">数式エンジン</t>
        </is>
      </c>
      <c r="C9" t="inlineStr">
        <is>
          <t xml:space="preserve">数値に見える文字列の暗黙変換</t>
        </is>
      </c>
      <c r="D9" t="inlineStr">
        <is>
          <t xml:space="preserve">同値分割</t>
        </is>
      </c>
      <c r="E9" t="inlineStr">
        <is>
          <t xml:space="preserve">-</t>
        </is>
      </c>
      <c r="F9" t="e">
        <f>"1"+1 を入力</f>
        <v>#NAME?</v>
      </c>
      <c r="G9">
        <v>2</v>
      </c>
      <c r="H9">
        <v>2</v>
      </c>
      <c r="I9" s="3" t="inlineStr">
        <is>
          <t xml:space="preserve">PASS</t>
        </is>
      </c>
    </row>
    <row r="10">
      <c r="A10" t="inlineStr">
        <is>
          <t xml:space="preserve">TC-A-009</t>
        </is>
      </c>
      <c r="B10" t="inlineStr">
        <is>
          <t xml:space="preserve">数式エンジン</t>
        </is>
      </c>
      <c r="C10" t="inlineStr">
        <is>
          <t xml:space="preserve">数値化できない文字列の演算</t>
        </is>
      </c>
      <c r="D10" t="inlineStr">
        <is>
          <t xml:space="preserve">異常系</t>
        </is>
      </c>
      <c r="E10" t="inlineStr">
        <is>
          <t xml:space="preserve">-</t>
        </is>
      </c>
      <c r="F10" t="e">
        <f>"abc"+1 を入力</f>
        <v>#NAME?</v>
      </c>
      <c r="G10" t="inlineStr">
        <is>
          <t xml:space="preserve">#VALUE!</t>
        </is>
      </c>
      <c r="H10" t="inlineStr">
        <is>
          <t xml:space="preserve">#VALUE!</t>
        </is>
      </c>
      <c r="I10" s="3" t="inlineStr">
        <is>
          <t xml:space="preserve">PASS</t>
        </is>
      </c>
    </row>
    <row r="11">
      <c r="A11" t="inlineStr">
        <is>
          <t xml:space="preserve">TC-A-010</t>
        </is>
      </c>
      <c r="B11" t="inlineStr">
        <is>
          <t xml:space="preserve">数式エンジン</t>
        </is>
      </c>
      <c r="C11" t="inlineStr">
        <is>
          <t xml:space="preserve">論理値の数値化(TRUE=1)</t>
        </is>
      </c>
      <c r="D11" t="inlineStr">
        <is>
          <t xml:space="preserve">同値分割</t>
        </is>
      </c>
      <c r="E11" t="inlineStr">
        <is>
          <t xml:space="preserve">-</t>
        </is>
      </c>
      <c r="F11" t="e">
        <f>TRUE()+1 を入力</f>
        <v>#NAME?</v>
      </c>
      <c r="G11">
        <v>2</v>
      </c>
      <c r="H11">
        <v>2</v>
      </c>
      <c r="I11" s="3" t="inlineStr">
        <is>
          <t xml:space="preserve">PASS</t>
        </is>
      </c>
    </row>
    <row r="12">
      <c r="A12" t="inlineStr">
        <is>
          <t xml:space="preserve">TC-A-011</t>
        </is>
      </c>
      <c r="B12" t="inlineStr">
        <is>
          <t xml:space="preserve">数式エンジン</t>
        </is>
      </c>
      <c r="C12" t="inlineStr">
        <is>
          <t xml:space="preserve">空セル参照は0として扱う</t>
        </is>
      </c>
      <c r="D12" t="inlineStr">
        <is>
          <t xml:space="preserve">境界値</t>
        </is>
      </c>
      <c r="E12" t="inlineStr">
        <is>
          <t xml:space="preserve">A1は空</t>
        </is>
      </c>
      <c r="F12" t="e">
        <f>A1+5 を入力</f>
        <v>#NAME?</v>
      </c>
      <c r="G12">
        <v>5</v>
      </c>
      <c r="H12">
        <v>5</v>
      </c>
      <c r="I12" s="3" t="inlineStr">
        <is>
          <t xml:space="preserve">PASS</t>
        </is>
      </c>
    </row>
    <row r="13">
      <c r="A13" t="inlineStr">
        <is>
          <t xml:space="preserve">TC-A-012</t>
        </is>
      </c>
      <c r="B13" t="inlineStr">
        <is>
          <t xml:space="preserve">数式エンジン</t>
        </is>
      </c>
      <c r="C13" t="inlineStr">
        <is>
          <t xml:space="preserve">空セルの文字列連結は空文字</t>
        </is>
      </c>
      <c r="D13" t="inlineStr">
        <is>
          <t xml:space="preserve">境界値</t>
        </is>
      </c>
      <c r="E13" t="inlineStr">
        <is>
          <t xml:space="preserve">A1は空</t>
        </is>
      </c>
      <c r="F13" t="e">
        <f>A1&amp;"x" を入力</f>
        <v>#NAME?</v>
      </c>
      <c r="G13" t="inlineStr">
        <is>
          <t xml:space="preserve">x</t>
        </is>
      </c>
      <c r="H13" t="inlineStr">
        <is>
          <t xml:space="preserve">x</t>
        </is>
      </c>
      <c r="I13" s="3" t="inlineStr">
        <is>
          <t xml:space="preserve">PASS</t>
        </is>
      </c>
    </row>
    <row r="14">
      <c r="A14" t="inlineStr">
        <is>
          <t xml:space="preserve">TC-A-013</t>
        </is>
      </c>
      <c r="B14" t="inlineStr">
        <is>
          <t xml:space="preserve">数式エンジン</t>
        </is>
      </c>
      <c r="C14" t="inlineStr">
        <is>
          <t xml:space="preserve">比較演算子(等号)</t>
        </is>
      </c>
      <c r="D14" t="inlineStr">
        <is>
          <t xml:space="preserve">正常系</t>
        </is>
      </c>
      <c r="E14" t="inlineStr">
        <is>
          <t xml:space="preserve">-</t>
        </is>
      </c>
      <c r="F14" t="e">
        <f>1=1 を入力</f>
        <v>#NAME?</v>
      </c>
      <c r="G14" t="b">
        <v>1</v>
      </c>
      <c r="H14" t="b">
        <v>1</v>
      </c>
      <c r="I14" s="3" t="inlineStr">
        <is>
          <t xml:space="preserve">PASS</t>
        </is>
      </c>
    </row>
    <row r="15">
      <c r="A15" t="inlineStr">
        <is>
          <t xml:space="preserve">TC-A-014</t>
        </is>
      </c>
      <c r="B15" t="inlineStr">
        <is>
          <t xml:space="preserve">数式エンジン</t>
        </is>
      </c>
      <c r="C15" t="inlineStr">
        <is>
          <t xml:space="preserve">比較演算子(不等号)</t>
        </is>
      </c>
      <c r="D15" t="inlineStr">
        <is>
          <t xml:space="preserve">正常系</t>
        </is>
      </c>
      <c r="E15" t="inlineStr">
        <is>
          <t xml:space="preserve">-</t>
        </is>
      </c>
      <c r="F15" t="e">
        <f>2&lt;&gt;2 を入力</f>
        <v>#NAME?</v>
      </c>
      <c r="G15" t="b">
        <v>0</v>
      </c>
      <c r="H15" t="b">
        <v>0</v>
      </c>
      <c r="I15" s="3" t="inlineStr">
        <is>
          <t xml:space="preserve">PASS</t>
        </is>
      </c>
    </row>
    <row r="16">
      <c r="A16" t="inlineStr">
        <is>
          <t xml:space="preserve">TC-A-015</t>
        </is>
      </c>
      <c r="B16" t="inlineStr">
        <is>
          <t xml:space="preserve">数式エンジン</t>
        </is>
      </c>
      <c r="C16" t="inlineStr">
        <is>
          <t xml:space="preserve">文字列比較(辞書順)</t>
        </is>
      </c>
      <c r="D16" t="inlineStr">
        <is>
          <t xml:space="preserve">正常系</t>
        </is>
      </c>
      <c r="E16" t="inlineStr">
        <is>
          <t xml:space="preserve">-</t>
        </is>
      </c>
      <c r="F16" t="e">
        <f>"a"&lt;"b" を入力</f>
        <v>#NAME?</v>
      </c>
      <c r="G16" t="b">
        <v>1</v>
      </c>
      <c r="H16" t="b">
        <v>1</v>
      </c>
      <c r="I16" s="3" t="inlineStr">
        <is>
          <t xml:space="preserve">PASS</t>
        </is>
      </c>
    </row>
    <row r="17">
      <c r="A17" t="inlineStr">
        <is>
          <t xml:space="preserve">TC-A-016</t>
        </is>
      </c>
      <c r="B17" t="inlineStr">
        <is>
          <t xml:space="preserve">数式エンジン</t>
        </is>
      </c>
      <c r="C17" t="inlineStr">
        <is>
          <t xml:space="preserve">文字列比較は大文字小文字を区別しない</t>
        </is>
      </c>
      <c r="D17" t="inlineStr">
        <is>
          <t xml:space="preserve">エラー推測</t>
        </is>
      </c>
      <c r="E17" t="inlineStr">
        <is>
          <t xml:space="preserve">-</t>
        </is>
      </c>
      <c r="F17" t="e">
        <f>"A"="a" を入力</f>
        <v>#NAME?</v>
      </c>
      <c r="G17" t="b">
        <v>1</v>
      </c>
      <c r="H17" t="b">
        <v>1</v>
      </c>
      <c r="I17" s="3" t="inlineStr">
        <is>
          <t xml:space="preserve">PASS</t>
        </is>
      </c>
    </row>
    <row r="18">
      <c r="A18" t="inlineStr">
        <is>
          <t xml:space="preserve">TC-A-017</t>
        </is>
      </c>
      <c r="B18" t="inlineStr">
        <is>
          <t xml:space="preserve">数式エンジン</t>
        </is>
      </c>
      <c r="C18" t="inlineStr">
        <is>
          <t xml:space="preserve">二重引用符のエスケープ</t>
        </is>
      </c>
      <c r="D18" t="inlineStr">
        <is>
          <t xml:space="preserve">境界値</t>
        </is>
      </c>
      <c r="E18" t="inlineStr">
        <is>
          <t xml:space="preserve">-</t>
        </is>
      </c>
      <c r="F18" t="e">
        <f>"a""b" を入力</f>
        <v>#NAME?</v>
      </c>
      <c r="G18" t="inlineStr">
        <is>
          <t xml:space="preserve">a"b</t>
        </is>
      </c>
      <c r="H18" t="inlineStr">
        <is>
          <t xml:space="preserve">a"b</t>
        </is>
      </c>
      <c r="I18" s="3" t="inlineStr">
        <is>
          <t xml:space="preserve">PASS</t>
        </is>
      </c>
    </row>
    <row r="19">
      <c r="A19" t="inlineStr">
        <is>
          <t xml:space="preserve">TC-A-018</t>
        </is>
      </c>
      <c r="B19" t="inlineStr">
        <is>
          <t xml:space="preserve">数式エンジン</t>
        </is>
      </c>
      <c r="C19" t="inlineStr">
        <is>
          <t xml:space="preserve">指数表記リテラル</t>
        </is>
      </c>
      <c r="D19" t="inlineStr">
        <is>
          <t xml:space="preserve">境界値</t>
        </is>
      </c>
      <c r="E19" t="inlineStr">
        <is>
          <t xml:space="preserve">-</t>
        </is>
      </c>
      <c r="F19" t="e">
        <f>1.5e3 を入力</f>
        <v>#NAME?</v>
      </c>
      <c r="G19">
        <v>1500</v>
      </c>
      <c r="H19">
        <v>1500</v>
      </c>
      <c r="I19" s="3" t="inlineStr">
        <is>
          <t xml:space="preserve">PASS</t>
        </is>
      </c>
    </row>
    <row r="20">
      <c r="A20" t="inlineStr">
        <is>
          <t xml:space="preserve">TC-A-019</t>
        </is>
      </c>
      <c r="B20" t="inlineStr">
        <is>
          <t xml:space="preserve">数式エンジン</t>
        </is>
      </c>
      <c r="C20" t="inlineStr">
        <is>
          <t xml:space="preserve">関数の入れ子(3段)</t>
        </is>
      </c>
      <c r="D20" t="inlineStr">
        <is>
          <t xml:space="preserve">正常系</t>
        </is>
      </c>
      <c r="E20" t="inlineStr">
        <is>
          <t xml:space="preserve">A1=-4</t>
        </is>
      </c>
      <c r="F20" t="e">
        <f>ROUND(SQRT(ABS(A1)),1) を入力</f>
        <v>#NAME?</v>
      </c>
      <c r="G20">
        <v>2</v>
      </c>
      <c r="H20">
        <v>2</v>
      </c>
      <c r="I20" s="3" t="inlineStr">
        <is>
          <t xml:space="preserve">PASS</t>
        </is>
      </c>
    </row>
    <row r="21">
      <c r="A21" t="inlineStr">
        <is>
          <t xml:space="preserve">TC-A-020</t>
        </is>
      </c>
      <c r="B21" t="inlineStr">
        <is>
          <t xml:space="preserve">数式エンジン</t>
        </is>
      </c>
      <c r="C21" t="inlineStr">
        <is>
          <t xml:space="preserve">0.1+0.2の浮動小数点誤差が表示に出ないこと</t>
        </is>
      </c>
      <c r="D21" t="inlineStr">
        <is>
          <t xml:space="preserve">エラー推測</t>
        </is>
      </c>
      <c r="E21" t="inlineStr">
        <is>
          <t xml:space="preserve">-</t>
        </is>
      </c>
      <c r="F21" t="e">
        <f>0.1+0.2 を入力</f>
        <v>#NAME?</v>
      </c>
      <c r="G21">
        <v>0.3</v>
      </c>
      <c r="H21">
        <v>0.3</v>
      </c>
      <c r="I21" s="3" t="inlineStr">
        <is>
          <t xml:space="preserve">PASS</t>
        </is>
      </c>
    </row>
    <row r="22">
      <c r="A22" t="inlineStr">
        <is>
          <t xml:space="preserve">TC-B-001</t>
        </is>
      </c>
      <c r="B22" t="inlineStr">
        <is>
          <t xml:space="preserve">関数(統計)</t>
        </is>
      </c>
      <c r="C22" t="inlineStr">
        <is>
          <t xml:space="preserve">SUM 範囲指定</t>
        </is>
      </c>
      <c r="D22" t="inlineStr">
        <is>
          <t xml:space="preserve">正常系</t>
        </is>
      </c>
      <c r="E22" t="inlineStr">
        <is>
          <t xml:space="preserve">A1:A3=1,2,3</t>
        </is>
      </c>
      <c r="F22">
        <f>SUM(A1:A3)</f>
        <v>0</v>
      </c>
      <c r="G22">
        <v>6</v>
      </c>
      <c r="H22">
        <v>6</v>
      </c>
      <c r="I22" s="3" t="inlineStr">
        <is>
          <t xml:space="preserve">PASS</t>
        </is>
      </c>
    </row>
    <row r="23">
      <c r="A23" t="inlineStr">
        <is>
          <t xml:space="preserve">TC-B-002</t>
        </is>
      </c>
      <c r="B23" t="inlineStr">
        <is>
          <t xml:space="preserve">関数(統計)</t>
        </is>
      </c>
      <c r="C23" t="inlineStr">
        <is>
          <t xml:space="preserve">SUM 範囲内の文字列は無視される</t>
        </is>
      </c>
      <c r="D23" t="inlineStr">
        <is>
          <t xml:space="preserve">同値分割</t>
        </is>
      </c>
      <c r="E23" t="inlineStr">
        <is>
          <t xml:space="preserve">A1=1,A2=abc,A3=3</t>
        </is>
      </c>
      <c r="F23">
        <f>SUM(A1:A3)</f>
        <v>0</v>
      </c>
      <c r="G23">
        <v>4</v>
      </c>
      <c r="H23">
        <v>4</v>
      </c>
      <c r="I23" s="3" t="inlineStr">
        <is>
          <t xml:space="preserve">PASS</t>
        </is>
      </c>
    </row>
    <row r="24">
      <c r="A24" t="inlineStr">
        <is>
          <t xml:space="preserve">TC-B-003</t>
        </is>
      </c>
      <c r="B24" t="inlineStr">
        <is>
          <t xml:space="preserve">関数(統計)</t>
        </is>
      </c>
      <c r="C24" t="inlineStr">
        <is>
          <t xml:space="preserve">SUM 直接引数の文字列は数値化される</t>
        </is>
      </c>
      <c r="D24" t="inlineStr">
        <is>
          <t xml:space="preserve">同値分割</t>
        </is>
      </c>
      <c r="E24" t="inlineStr">
        <is>
          <t xml:space="preserve">-</t>
        </is>
      </c>
      <c r="F24">
        <f>SUM(1,"2")</f>
        <v>3</v>
      </c>
      <c r="G24">
        <v>3</v>
      </c>
      <c r="H24">
        <v>3</v>
      </c>
      <c r="I24" s="3" t="inlineStr">
        <is>
          <t xml:space="preserve">PASS</t>
        </is>
      </c>
    </row>
    <row r="25">
      <c r="A25" t="inlineStr">
        <is>
          <t xml:space="preserve">TC-B-004</t>
        </is>
      </c>
      <c r="B25" t="inlineStr">
        <is>
          <t xml:space="preserve">関数(統計)</t>
        </is>
      </c>
      <c r="C25" t="inlineStr">
        <is>
          <t xml:space="preserve">SUM 空範囲は0</t>
        </is>
      </c>
      <c r="D25" t="inlineStr">
        <is>
          <t xml:space="preserve">境界値</t>
        </is>
      </c>
      <c r="E25" t="inlineStr">
        <is>
          <t xml:space="preserve">A1:A3は空</t>
        </is>
      </c>
      <c r="F25">
        <f>SUM(A1:A3)</f>
        <v>0</v>
      </c>
      <c r="G25">
        <v>0</v>
      </c>
      <c r="H25">
        <v>0</v>
      </c>
      <c r="I25" s="3" t="inlineStr">
        <is>
          <t xml:space="preserve">PASS</t>
        </is>
      </c>
    </row>
    <row r="26">
      <c r="A26" t="inlineStr">
        <is>
          <t xml:space="preserve">TC-B-005</t>
        </is>
      </c>
      <c r="B26" t="inlineStr">
        <is>
          <t xml:space="preserve">関数(統計)</t>
        </is>
      </c>
      <c r="C26" t="inlineStr">
        <is>
          <t xml:space="preserve">AVERAGE 文字列を除いた平均</t>
        </is>
      </c>
      <c r="D26" t="inlineStr">
        <is>
          <t xml:space="preserve">同値分割</t>
        </is>
      </c>
      <c r="E26" t="inlineStr">
        <is>
          <t xml:space="preserve">A1=1,A2=abc,A3=3</t>
        </is>
      </c>
      <c r="F26" t="e">
        <f>AVERAGE(A1:A3)</f>
        <v>#DIV/0!</v>
      </c>
      <c r="G26">
        <v>2</v>
      </c>
      <c r="H26">
        <v>2</v>
      </c>
      <c r="I26" s="3" t="inlineStr">
        <is>
          <t xml:space="preserve">PASS</t>
        </is>
      </c>
    </row>
    <row r="27">
      <c r="A27" t="inlineStr">
        <is>
          <t xml:space="preserve">TC-B-006</t>
        </is>
      </c>
      <c r="B27" t="inlineStr">
        <is>
          <t xml:space="preserve">関数(統計)</t>
        </is>
      </c>
      <c r="C27" t="inlineStr">
        <is>
          <t xml:space="preserve">AVERAGE 対象0件は#DIV/0!</t>
        </is>
      </c>
      <c r="D27" t="inlineStr">
        <is>
          <t xml:space="preserve">異常系</t>
        </is>
      </c>
      <c r="E27" t="inlineStr">
        <is>
          <t xml:space="preserve">A1:A3は空</t>
        </is>
      </c>
      <c r="F27" t="e">
        <f>AVERAGE(A1:A3)</f>
        <v>#DIV/0!</v>
      </c>
      <c r="G27" t="inlineStr">
        <is>
          <t xml:space="preserve">#DIV/0!</t>
        </is>
      </c>
      <c r="H27" t="inlineStr">
        <is>
          <t xml:space="preserve">#DIV/0!</t>
        </is>
      </c>
      <c r="I27" s="3" t="inlineStr">
        <is>
          <t xml:space="preserve">PASS</t>
        </is>
      </c>
    </row>
    <row r="28">
      <c r="A28" t="inlineStr">
        <is>
          <t xml:space="preserve">TC-B-007</t>
        </is>
      </c>
      <c r="B28" t="inlineStr">
        <is>
          <t xml:space="preserve">関数(統計)</t>
        </is>
      </c>
      <c r="C28" t="inlineStr">
        <is>
          <t xml:space="preserve">COUNT は数値のみ数える</t>
        </is>
      </c>
      <c r="D28" t="inlineStr">
        <is>
          <t xml:space="preserve">同値分割</t>
        </is>
      </c>
      <c r="E28" t="inlineStr">
        <is>
          <t xml:space="preserve">A1=1,A2=abc,A3=3</t>
        </is>
      </c>
      <c r="F28">
        <f>COUNT(A1:A3)</f>
        <v>0</v>
      </c>
      <c r="G28">
        <v>2</v>
      </c>
      <c r="H28">
        <v>2</v>
      </c>
      <c r="I28" s="3" t="inlineStr">
        <is>
          <t xml:space="preserve">PASS</t>
        </is>
      </c>
    </row>
    <row r="29">
      <c r="A29" t="inlineStr">
        <is>
          <t xml:space="preserve">TC-B-008</t>
        </is>
      </c>
      <c r="B29" t="inlineStr">
        <is>
          <t xml:space="preserve">関数(統計)</t>
        </is>
      </c>
      <c r="C29" t="inlineStr">
        <is>
          <t xml:space="preserve">COUNTA は空以外を数える</t>
        </is>
      </c>
      <c r="D29" t="inlineStr">
        <is>
          <t xml:space="preserve">同値分割</t>
        </is>
      </c>
      <c r="E29" t="inlineStr">
        <is>
          <t xml:space="preserve">A1=1,A2=abc,A3は空</t>
        </is>
      </c>
      <c r="F29">
        <f>COUNTA(A1:A3)</f>
        <v>3</v>
      </c>
      <c r="G29">
        <v>2</v>
      </c>
      <c r="H29">
        <v>2</v>
      </c>
      <c r="I29" s="3" t="inlineStr">
        <is>
          <t xml:space="preserve">PASS</t>
        </is>
      </c>
    </row>
    <row r="30">
      <c r="A30" t="inlineStr">
        <is>
          <t xml:space="preserve">TC-B-009</t>
        </is>
      </c>
      <c r="B30" t="inlineStr">
        <is>
          <t xml:space="preserve">関数(統計)</t>
        </is>
      </c>
      <c r="C30" t="inlineStr">
        <is>
          <t xml:space="preserve">COUNTBLANK は空セルを数える</t>
        </is>
      </c>
      <c r="D30" t="inlineStr">
        <is>
          <t xml:space="preserve">境界値</t>
        </is>
      </c>
      <c r="E30" t="inlineStr">
        <is>
          <t xml:space="preserve">A1=1,A2,A3は空</t>
        </is>
      </c>
      <c r="F30">
        <f>COUNTBLANK(A1:A3)</f>
        <v>0</v>
      </c>
      <c r="G30">
        <v>2</v>
      </c>
      <c r="H30">
        <v>2</v>
      </c>
      <c r="I30" s="3" t="inlineStr">
        <is>
          <t xml:space="preserve">PASS</t>
        </is>
      </c>
    </row>
    <row r="31">
      <c r="A31" t="inlineStr">
        <is>
          <t xml:space="preserve">TC-B-010</t>
        </is>
      </c>
      <c r="B31" t="inlineStr">
        <is>
          <t xml:space="preserve">関数(統計)</t>
        </is>
      </c>
      <c r="C31" t="inlineStr">
        <is>
          <t xml:space="preserve">MAX 全空のとき0</t>
        </is>
      </c>
      <c r="D31" t="inlineStr">
        <is>
          <t xml:space="preserve">境界値</t>
        </is>
      </c>
      <c r="E31" t="inlineStr">
        <is>
          <t xml:space="preserve">A1:A3は空</t>
        </is>
      </c>
      <c r="F31">
        <f>MAX(A1:A3)</f>
        <v>0</v>
      </c>
      <c r="G31">
        <v>0</v>
      </c>
      <c r="H31">
        <v>0</v>
      </c>
      <c r="I31" s="3" t="inlineStr">
        <is>
          <t xml:space="preserve">PASS</t>
        </is>
      </c>
    </row>
    <row r="32">
      <c r="A32" t="inlineStr">
        <is>
          <t xml:space="preserve">TC-B-011</t>
        </is>
      </c>
      <c r="B32" t="inlineStr">
        <is>
          <t xml:space="preserve">関数(統計)</t>
        </is>
      </c>
      <c r="C32" t="inlineStr">
        <is>
          <t xml:space="preserve">MEDIAN 偶数個は中央2値の平均</t>
        </is>
      </c>
      <c r="D32" t="inlineStr">
        <is>
          <t xml:space="preserve">境界値</t>
        </is>
      </c>
      <c r="E32" t="inlineStr">
        <is>
          <t xml:space="preserve">A1:A4=1,2,3,4</t>
        </is>
      </c>
      <c r="F32" t="e">
        <f>MEDIAN(A1:A4)</f>
        <v>#NUM!</v>
      </c>
      <c r="G32">
        <v>2.5</v>
      </c>
      <c r="H32">
        <v>2.5</v>
      </c>
      <c r="I32" s="3" t="inlineStr">
        <is>
          <t xml:space="preserve">PASS</t>
        </is>
      </c>
    </row>
    <row r="33">
      <c r="A33" t="inlineStr">
        <is>
          <t xml:space="preserve">TC-B-012</t>
        </is>
      </c>
      <c r="B33" t="inlineStr">
        <is>
          <t xml:space="preserve">関数(統計)</t>
        </is>
      </c>
      <c r="C33" t="inlineStr">
        <is>
          <t xml:space="preserve">STDEV(標本標準偏差)</t>
        </is>
      </c>
      <c r="D33" t="inlineStr">
        <is>
          <t xml:space="preserve">正常系</t>
        </is>
      </c>
      <c r="E33" t="inlineStr">
        <is>
          <t xml:space="preserve">A1:A4=2,4,4,6</t>
        </is>
      </c>
      <c r="F33" t="e">
        <f>ROUND(STDEV(A1:A4),4)</f>
        <v>#DIV/0!</v>
      </c>
      <c r="G33">
        <v>1.633</v>
      </c>
      <c r="H33">
        <v>1.633</v>
      </c>
      <c r="I33" s="3" t="inlineStr">
        <is>
          <t xml:space="preserve">PASS</t>
        </is>
      </c>
    </row>
    <row r="34">
      <c r="A34" t="inlineStr">
        <is>
          <t xml:space="preserve">TC-B-013</t>
        </is>
      </c>
      <c r="B34" t="inlineStr">
        <is>
          <t xml:space="preserve">関数(統計)</t>
        </is>
      </c>
      <c r="C34" t="inlineStr">
        <is>
          <t xml:space="preserve">STDEVP(母標準偏差)</t>
        </is>
      </c>
      <c r="D34" t="inlineStr">
        <is>
          <t xml:space="preserve">正常系</t>
        </is>
      </c>
      <c r="E34" t="inlineStr">
        <is>
          <t xml:space="preserve">A1:A4=2,4,4,6</t>
        </is>
      </c>
      <c r="F34" t="e">
        <f>ROUND(STDEVP(A1:A4),4)</f>
        <v>#DIV/0!</v>
      </c>
      <c r="G34">
        <v>1.4142</v>
      </c>
      <c r="H34">
        <v>1.4142</v>
      </c>
      <c r="I34" s="3" t="inlineStr">
        <is>
          <t xml:space="preserve">PASS</t>
        </is>
      </c>
    </row>
    <row r="35">
      <c r="A35" t="inlineStr">
        <is>
          <t xml:space="preserve">TC-B-014</t>
        </is>
      </c>
      <c r="B35" t="inlineStr">
        <is>
          <t xml:space="preserve">関数(統計)</t>
        </is>
      </c>
      <c r="C35" t="inlineStr">
        <is>
          <t xml:space="preserve">LARGE のn番目</t>
        </is>
      </c>
      <c r="D35" t="inlineStr">
        <is>
          <t xml:space="preserve">正常系</t>
        </is>
      </c>
      <c r="E35" t="inlineStr">
        <is>
          <t xml:space="preserve">A1:A4=5,1,4,2</t>
        </is>
      </c>
      <c r="F35" t="e">
        <f>LARGE(A1:A4,2)</f>
        <v>#NUM!</v>
      </c>
      <c r="G35">
        <v>4</v>
      </c>
      <c r="H35">
        <v>4</v>
      </c>
      <c r="I35" s="3" t="inlineStr">
        <is>
          <t xml:space="preserve">PASS</t>
        </is>
      </c>
    </row>
    <row r="36">
      <c r="A36" t="inlineStr">
        <is>
          <t xml:space="preserve">TC-B-015</t>
        </is>
      </c>
      <c r="B36" t="inlineStr">
        <is>
          <t xml:space="preserve">関数(統計)</t>
        </is>
      </c>
      <c r="C36" t="inlineStr">
        <is>
          <t xml:space="preserve">RANK 降順の順位</t>
        </is>
      </c>
      <c r="D36" t="inlineStr">
        <is>
          <t xml:space="preserve">正常系</t>
        </is>
      </c>
      <c r="E36" t="inlineStr">
        <is>
          <t xml:space="preserve">A1:A4=5,1,4,2</t>
        </is>
      </c>
      <c r="F36" t="e">
        <f>RANK(4,A1:A4)</f>
        <v>#N/A</v>
      </c>
      <c r="G36">
        <v>2</v>
      </c>
      <c r="H36">
        <v>2</v>
      </c>
      <c r="I36" s="3" t="inlineStr">
        <is>
          <t xml:space="preserve">PASS</t>
        </is>
      </c>
    </row>
    <row r="37">
      <c r="A37" t="inlineStr">
        <is>
          <t xml:space="preserve">TC-B-016</t>
        </is>
      </c>
      <c r="B37" t="inlineStr">
        <is>
          <t xml:space="preserve">関数(条件集計)</t>
        </is>
      </c>
      <c r="C37" t="inlineStr">
        <is>
          <t xml:space="preserve">COUNTIF 比較演算子つき条件</t>
        </is>
      </c>
      <c r="D37" t="inlineStr">
        <is>
          <t xml:space="preserve">正常系</t>
        </is>
      </c>
      <c r="E37" t="inlineStr">
        <is>
          <t xml:space="preserve">A1:A5=1,5,10,15,20</t>
        </is>
      </c>
      <c r="F37">
        <f>COUNTIF(A1:A5,"&gt;=10")</f>
        <v>5</v>
      </c>
      <c r="G37">
        <v>3</v>
      </c>
      <c r="H37">
        <v>3</v>
      </c>
      <c r="I37" s="3" t="inlineStr">
        <is>
          <t xml:space="preserve">PASS</t>
        </is>
      </c>
    </row>
    <row r="38">
      <c r="A38" t="inlineStr">
        <is>
          <t xml:space="preserve">TC-B-017</t>
        </is>
      </c>
      <c r="B38" t="inlineStr">
        <is>
          <t xml:space="preserve">関数(条件集計)</t>
        </is>
      </c>
      <c r="C38" t="inlineStr">
        <is>
          <t xml:space="preserve">COUNTIF ワイルドカード</t>
        </is>
      </c>
      <c r="D38" t="inlineStr">
        <is>
          <t xml:space="preserve">正常系</t>
        </is>
      </c>
      <c r="E38" t="inlineStr">
        <is>
          <t xml:space="preserve">A1=apple,A2=apricot,A3=banana</t>
        </is>
      </c>
      <c r="F38">
        <f>COUNTIF(A1:A3,"ap*")</f>
        <v>0</v>
      </c>
      <c r="G38">
        <v>2</v>
      </c>
      <c r="H38">
        <v>2</v>
      </c>
      <c r="I38" s="3" t="inlineStr">
        <is>
          <t xml:space="preserve">PASS</t>
        </is>
      </c>
    </row>
    <row r="39">
      <c r="A39" t="inlineStr">
        <is>
          <t xml:space="preserve">TC-B-018</t>
        </is>
      </c>
      <c r="B39" t="inlineStr">
        <is>
          <t xml:space="preserve">関数(条件集計)</t>
        </is>
      </c>
      <c r="C39" t="inlineStr">
        <is>
          <t xml:space="preserve">SUMIF 合計範囲を別指定</t>
        </is>
      </c>
      <c r="D39" t="inlineStr">
        <is>
          <t xml:space="preserve">正常系</t>
        </is>
      </c>
      <c r="E39" t="inlineStr">
        <is>
          <t xml:space="preserve">A1:A3=x,y,x / B1:B3=1,2,3</t>
        </is>
      </c>
      <c r="F39">
        <f>SUMIF(A1:A3,"x",B1:B3)</f>
        <v>0</v>
      </c>
      <c r="G39">
        <v>4</v>
      </c>
      <c r="H39">
        <v>4</v>
      </c>
      <c r="I39" s="3" t="inlineStr">
        <is>
          <t xml:space="preserve">PASS</t>
        </is>
      </c>
    </row>
    <row r="40">
      <c r="A40" t="inlineStr">
        <is>
          <t xml:space="preserve">TC-B-019</t>
        </is>
      </c>
      <c r="B40" t="inlineStr">
        <is>
          <t xml:space="preserve">関数(条件集計)</t>
        </is>
      </c>
      <c r="C40" t="inlineStr">
        <is>
          <t xml:space="preserve">SUMIFS 複数条件のAND</t>
        </is>
      </c>
      <c r="D40" t="inlineStr">
        <is>
          <t xml:space="preserve">デシジョンテーブル</t>
        </is>
      </c>
      <c r="E40" t="inlineStr">
        <is>
          <t xml:space="preserve">A=部署,B=月,C=金額</t>
        </is>
      </c>
      <c r="F40">
        <f>SUMIFS(C1:C4,A1:A4,"営業",B1:B4,4)</f>
        <v>0</v>
      </c>
      <c r="G40">
        <v>300</v>
      </c>
      <c r="H40">
        <v>300</v>
      </c>
      <c r="I40" s="3" t="inlineStr">
        <is>
          <t xml:space="preserve">PASS</t>
        </is>
      </c>
    </row>
    <row r="41">
      <c r="A41" t="inlineStr">
        <is>
          <t xml:space="preserve">TC-B-020</t>
        </is>
      </c>
      <c r="B41" t="inlineStr">
        <is>
          <t xml:space="preserve">関数(条件集計)</t>
        </is>
      </c>
      <c r="C41" t="inlineStr">
        <is>
          <t xml:space="preserve">COUNTIFS 複数条件のAND</t>
        </is>
      </c>
      <c r="D41" t="inlineStr">
        <is>
          <t xml:space="preserve">デシジョンテーブル</t>
        </is>
      </c>
      <c r="E41" t="inlineStr">
        <is>
          <t xml:space="preserve">A=部署,B=月</t>
        </is>
      </c>
      <c r="F41">
        <f>COUNTIFS(A1:A4,"営業",B1:B4,4)</f>
        <v>0</v>
      </c>
      <c r="G41">
        <v>2</v>
      </c>
      <c r="H41">
        <v>2</v>
      </c>
      <c r="I41" s="3" t="inlineStr">
        <is>
          <t xml:space="preserve">PASS</t>
        </is>
      </c>
    </row>
    <row r="42">
      <c r="A42" t="inlineStr">
        <is>
          <t xml:space="preserve">TC-B-021</t>
        </is>
      </c>
      <c r="B42" t="inlineStr">
        <is>
          <t xml:space="preserve">関数(条件集計)</t>
        </is>
      </c>
      <c r="C42" t="inlineStr">
        <is>
          <t xml:space="preserve">AVERAGEIF 条件つき平均</t>
        </is>
      </c>
      <c r="D42" t="inlineStr">
        <is>
          <t xml:space="preserve">正常系</t>
        </is>
      </c>
      <c r="E42" t="inlineStr">
        <is>
          <t xml:space="preserve">A1:A3=x,y,x / B=10,99,20</t>
        </is>
      </c>
      <c r="F42" t="e">
        <f>AVERAGEIF(A1:A3,"x",B1:B3)</f>
        <v>#DIV/0!</v>
      </c>
      <c r="G42">
        <v>15</v>
      </c>
      <c r="H42">
        <v>15</v>
      </c>
      <c r="I42" s="3" t="inlineStr">
        <is>
          <t xml:space="preserve">PASS</t>
        </is>
      </c>
    </row>
    <row r="43">
      <c r="A43" t="inlineStr">
        <is>
          <t xml:space="preserve">TC-B-022</t>
        </is>
      </c>
      <c r="B43" t="inlineStr">
        <is>
          <t xml:space="preserve">関数(論理)</t>
        </is>
      </c>
      <c r="C43" t="inlineStr">
        <is>
          <t xml:space="preserve">IF 真の分岐</t>
        </is>
      </c>
      <c r="D43" t="inlineStr">
        <is>
          <t xml:space="preserve">デシジョンテーブル</t>
        </is>
      </c>
      <c r="E43" t="inlineStr">
        <is>
          <t xml:space="preserve">A1=5</t>
        </is>
      </c>
      <c r="F43" t="str">
        <f>IF(A1&gt;3,"大","小")</f>
        <v>大</v>
      </c>
      <c r="G43" t="inlineStr">
        <is>
          <t xml:space="preserve">大</t>
        </is>
      </c>
      <c r="H43" t="inlineStr">
        <is>
          <t xml:space="preserve">大</t>
        </is>
      </c>
      <c r="I43" s="3" t="inlineStr">
        <is>
          <t xml:space="preserve">PASS</t>
        </is>
      </c>
    </row>
    <row r="44">
      <c r="A44" t="inlineStr">
        <is>
          <t xml:space="preserve">TC-B-023</t>
        </is>
      </c>
      <c r="B44" t="inlineStr">
        <is>
          <t xml:space="preserve">関数(論理)</t>
        </is>
      </c>
      <c r="C44" t="inlineStr">
        <is>
          <t xml:space="preserve">IF 偽の分岐</t>
        </is>
      </c>
      <c r="D44" t="inlineStr">
        <is>
          <t xml:space="preserve">デシジョンテーブル</t>
        </is>
      </c>
      <c r="E44" t="inlineStr">
        <is>
          <t xml:space="preserve">A1=1</t>
        </is>
      </c>
      <c r="F44" t="str">
        <f>IF(A1&gt;3,"大","小")</f>
        <v>大</v>
      </c>
      <c r="G44" t="inlineStr">
        <is>
          <t xml:space="preserve">小</t>
        </is>
      </c>
      <c r="H44" t="inlineStr">
        <is>
          <t xml:space="preserve">小</t>
        </is>
      </c>
      <c r="I44" s="3" t="inlineStr">
        <is>
          <t xml:space="preserve">PASS</t>
        </is>
      </c>
    </row>
    <row r="45">
      <c r="A45" t="inlineStr">
        <is>
          <t xml:space="preserve">TC-B-024</t>
        </is>
      </c>
      <c r="B45" t="inlineStr">
        <is>
          <t xml:space="preserve">関数(論理)</t>
        </is>
      </c>
      <c r="C45" t="inlineStr">
        <is>
          <t xml:space="preserve">IF 第3引数省略時はFALSE</t>
        </is>
      </c>
      <c r="D45" t="inlineStr">
        <is>
          <t xml:space="preserve">境界値</t>
        </is>
      </c>
      <c r="E45" t="inlineStr">
        <is>
          <t xml:space="preserve">A1=1</t>
        </is>
      </c>
      <c r="F45" t="str">
        <f>IF(A1&gt;3,"大")</f>
        <v>大</v>
      </c>
      <c r="G45" t="b">
        <v>0</v>
      </c>
      <c r="H45" t="b">
        <v>0</v>
      </c>
      <c r="I45" s="3" t="inlineStr">
        <is>
          <t xml:space="preserve">PASS</t>
        </is>
      </c>
    </row>
    <row r="46">
      <c r="A46" t="inlineStr">
        <is>
          <t xml:space="preserve">TC-B-025</t>
        </is>
      </c>
      <c r="B46" t="inlineStr">
        <is>
          <t xml:space="preserve">関数(論理)</t>
        </is>
      </c>
      <c r="C46" t="inlineStr">
        <is>
          <t xml:space="preserve">AND/OR/NOT の組み合わせ</t>
        </is>
      </c>
      <c r="D46" t="inlineStr">
        <is>
          <t xml:space="preserve">デシジョンテーブル</t>
        </is>
      </c>
      <c r="E46" t="inlineStr">
        <is>
          <t xml:space="preserve">-</t>
        </is>
      </c>
      <c r="F46" t="b">
        <f>AND(TRUE(),OR(FALSE(),NOT(FALSE())))</f>
        <v>1</v>
      </c>
      <c r="G46" t="b">
        <v>1</v>
      </c>
      <c r="H46" t="b">
        <v>1</v>
      </c>
      <c r="I46" s="3" t="inlineStr">
        <is>
          <t xml:space="preserve">PASS</t>
        </is>
      </c>
    </row>
    <row r="47">
      <c r="A47" t="inlineStr">
        <is>
          <t xml:space="preserve">TC-B-026</t>
        </is>
      </c>
      <c r="B47" t="inlineStr">
        <is>
          <t xml:space="preserve">関数(論理)</t>
        </is>
      </c>
      <c r="C47" t="inlineStr">
        <is>
          <t xml:space="preserve">XOR 排他的論理和</t>
        </is>
      </c>
      <c r="D47" t="inlineStr">
        <is>
          <t xml:space="preserve">デシジョンテーブル</t>
        </is>
      </c>
      <c r="E47" t="inlineStr">
        <is>
          <t xml:space="preserve">-</t>
        </is>
      </c>
      <c r="F47" t="b">
        <f>XOR(TRUE(),TRUE())</f>
        <v>0</v>
      </c>
      <c r="G47" t="b">
        <v>0</v>
      </c>
      <c r="H47" t="b">
        <v>0</v>
      </c>
      <c r="I47" s="3" t="inlineStr">
        <is>
          <t xml:space="preserve">PASS</t>
        </is>
      </c>
    </row>
    <row r="48">
      <c r="A48" t="inlineStr">
        <is>
          <t xml:space="preserve">TC-B-027</t>
        </is>
      </c>
      <c r="B48" t="inlineStr">
        <is>
          <t xml:space="preserve">関数(論理)</t>
        </is>
      </c>
      <c r="C48" t="inlineStr">
        <is>
          <t xml:space="preserve">IFS 最初に一致した条件を返す</t>
        </is>
      </c>
      <c r="D48" t="inlineStr">
        <is>
          <t xml:space="preserve">デシジョンテーブル</t>
        </is>
      </c>
      <c r="E48" t="inlineStr">
        <is>
          <t xml:space="preserve">A1=75</t>
        </is>
      </c>
      <c r="F48" t="str">
        <f>IFS(A1&gt;=90,"A",A1&gt;=70,"B",TRUE(),"C")</f>
        <v>A</v>
      </c>
      <c r="G48" t="inlineStr">
        <is>
          <t xml:space="preserve">B</t>
        </is>
      </c>
      <c r="H48" t="inlineStr">
        <is>
          <t xml:space="preserve">B</t>
        </is>
      </c>
      <c r="I48" s="3" t="inlineStr">
        <is>
          <t xml:space="preserve">PASS</t>
        </is>
      </c>
    </row>
    <row r="49">
      <c r="A49" t="inlineStr">
        <is>
          <t xml:space="preserve">TC-B-028</t>
        </is>
      </c>
      <c r="B49" t="inlineStr">
        <is>
          <t xml:space="preserve">関数(論理)</t>
        </is>
      </c>
      <c r="C49" t="inlineStr">
        <is>
          <t xml:space="preserve">IFERROR エラー時の代替値</t>
        </is>
      </c>
      <c r="D49" t="inlineStr">
        <is>
          <t xml:space="preserve">異常系</t>
        </is>
      </c>
      <c r="E49" t="inlineStr">
        <is>
          <t xml:space="preserve">-</t>
        </is>
      </c>
      <c r="F49" t="str">
        <f>IFERROR(1/0,"エラー")</f>
        <v>エラー</v>
      </c>
      <c r="G49" t="inlineStr">
        <is>
          <t xml:space="preserve">エラー</t>
        </is>
      </c>
      <c r="H49" t="inlineStr">
        <is>
          <t xml:space="preserve">エラー</t>
        </is>
      </c>
      <c r="I49" s="3" t="inlineStr">
        <is>
          <t xml:space="preserve">PASS</t>
        </is>
      </c>
    </row>
    <row r="50">
      <c r="A50" t="inlineStr">
        <is>
          <t xml:space="preserve">TC-B-029</t>
        </is>
      </c>
      <c r="B50" t="inlineStr">
        <is>
          <t xml:space="preserve">関数(論理)</t>
        </is>
      </c>
      <c r="C50" t="inlineStr">
        <is>
          <t xml:space="preserve">IFERROR 正常時は元の値</t>
        </is>
      </c>
      <c r="D50" t="inlineStr">
        <is>
          <t xml:space="preserve">正常系</t>
        </is>
      </c>
      <c r="E50" t="inlineStr">
        <is>
          <t xml:space="preserve">-</t>
        </is>
      </c>
      <c r="F50">
        <f>IFERROR(10/2,"エラー")</f>
        <v>5</v>
      </c>
      <c r="G50">
        <v>5</v>
      </c>
      <c r="H50">
        <v>5</v>
      </c>
      <c r="I50" s="3" t="inlineStr">
        <is>
          <t xml:space="preserve">PASS</t>
        </is>
      </c>
    </row>
    <row r="51">
      <c r="A51" t="inlineStr">
        <is>
          <t xml:space="preserve">TC-B-030</t>
        </is>
      </c>
      <c r="B51" t="inlineStr">
        <is>
          <t xml:space="preserve">関数(論理)</t>
        </is>
      </c>
      <c r="C51" t="inlineStr">
        <is>
          <t xml:space="preserve">IFNA は#N/Aのみ捕捉する</t>
        </is>
      </c>
      <c r="D51" t="inlineStr">
        <is>
          <t xml:space="preserve">エラー推測</t>
        </is>
      </c>
      <c r="E51" t="inlineStr">
        <is>
          <t xml:space="preserve">-</t>
        </is>
      </c>
      <c r="F51" t="e">
        <f>IFNA(1/0,"NA")</f>
        <v>#DIV/0!</v>
      </c>
      <c r="G51" t="inlineStr">
        <is>
          <t xml:space="preserve">#DIV/0!</t>
        </is>
      </c>
      <c r="H51" t="inlineStr">
        <is>
          <t xml:space="preserve">#DIV/0!</t>
        </is>
      </c>
      <c r="I51" s="3" t="inlineStr">
        <is>
          <t xml:space="preserve">PASS</t>
        </is>
      </c>
    </row>
    <row r="52">
      <c r="A52" t="inlineStr">
        <is>
          <t xml:space="preserve">TC-B-031</t>
        </is>
      </c>
      <c r="B52" t="inlineStr">
        <is>
          <t xml:space="preserve">関数(検索)</t>
        </is>
      </c>
      <c r="C52" t="inlineStr">
        <is>
          <t xml:space="preserve">VLOOKUP 完全一致</t>
        </is>
      </c>
      <c r="D52" t="inlineStr">
        <is>
          <t xml:space="preserve">正常系</t>
        </is>
      </c>
      <c r="E52" t="inlineStr">
        <is>
          <t xml:space="preserve">A1:B3 に商品表</t>
        </is>
      </c>
      <c r="F52" t="e">
        <f>VLOOKUP("B",A1:B3,2,FALSE)</f>
        <v>#N/A</v>
      </c>
      <c r="G52">
        <v>200</v>
      </c>
      <c r="H52">
        <v>200</v>
      </c>
      <c r="I52" s="3" t="inlineStr">
        <is>
          <t xml:space="preserve">PASS</t>
        </is>
      </c>
    </row>
    <row r="53">
      <c r="A53" t="inlineStr">
        <is>
          <t xml:space="preserve">TC-B-032</t>
        </is>
      </c>
      <c r="B53" t="inlineStr">
        <is>
          <t xml:space="preserve">関数(検索)</t>
        </is>
      </c>
      <c r="C53" t="inlineStr">
        <is>
          <t xml:space="preserve">VLOOKUP 該当なしは#N/A</t>
        </is>
      </c>
      <c r="D53" t="inlineStr">
        <is>
          <t xml:space="preserve">異常系</t>
        </is>
      </c>
      <c r="E53" t="inlineStr">
        <is>
          <t xml:space="preserve">A1:B3 に商品表</t>
        </is>
      </c>
      <c r="F53" t="e">
        <f>VLOOKUP("Z",A1:B3,2,FALSE)</f>
        <v>#N/A</v>
      </c>
      <c r="G53" t="inlineStr">
        <is>
          <t xml:space="preserve">#N/A</t>
        </is>
      </c>
      <c r="H53" t="inlineStr">
        <is>
          <t xml:space="preserve">#N/A</t>
        </is>
      </c>
      <c r="I53" s="3" t="inlineStr">
        <is>
          <t xml:space="preserve">PASS</t>
        </is>
      </c>
    </row>
    <row r="54">
      <c r="A54" t="inlineStr">
        <is>
          <t xml:space="preserve">TC-B-033</t>
        </is>
      </c>
      <c r="B54" t="inlineStr">
        <is>
          <t xml:space="preserve">関数(検索)</t>
        </is>
      </c>
      <c r="C54" t="inlineStr">
        <is>
          <t xml:space="preserve">VLOOKUP 近似一致(第4引数TRUE)</t>
        </is>
      </c>
      <c r="D54" t="inlineStr">
        <is>
          <t xml:space="preserve">境界値</t>
        </is>
      </c>
      <c r="E54" t="inlineStr">
        <is>
          <t xml:space="preserve">A=0,10,20 / B=低,中,高</t>
        </is>
      </c>
      <c r="F54" t="e">
        <f>VLOOKUP(15,A1:B3,2,TRUE)</f>
        <v>#N/A</v>
      </c>
      <c r="G54" t="inlineStr">
        <is>
          <t xml:space="preserve">中</t>
        </is>
      </c>
      <c r="H54" t="inlineStr">
        <is>
          <t xml:space="preserve">中</t>
        </is>
      </c>
      <c r="I54" s="3" t="inlineStr">
        <is>
          <t xml:space="preserve">PASS</t>
        </is>
      </c>
    </row>
    <row r="55">
      <c r="A55" t="inlineStr">
        <is>
          <t xml:space="preserve">TC-B-034</t>
        </is>
      </c>
      <c r="B55" t="inlineStr">
        <is>
          <t xml:space="preserve">関数(検索)</t>
        </is>
      </c>
      <c r="C55" t="inlineStr">
        <is>
          <t xml:space="preserve">VLOOKUP 列番号が範囲外は#REF!</t>
        </is>
      </c>
      <c r="D55" t="inlineStr">
        <is>
          <t xml:space="preserve">異常系</t>
        </is>
      </c>
      <c r="E55" t="inlineStr">
        <is>
          <t xml:space="preserve">A1:B3 に表</t>
        </is>
      </c>
      <c r="F55" t="e">
        <f>VLOOKUP("A",A1:B3,5,FALSE)</f>
        <v>#REF!</v>
      </c>
      <c r="G55" t="inlineStr">
        <is>
          <t xml:space="preserve">#REF!</t>
        </is>
      </c>
      <c r="H55" t="inlineStr">
        <is>
          <t xml:space="preserve">#REF!</t>
        </is>
      </c>
      <c r="I55" s="3" t="inlineStr">
        <is>
          <t xml:space="preserve">PASS</t>
        </is>
      </c>
    </row>
    <row r="56">
      <c r="A56" t="inlineStr">
        <is>
          <t xml:space="preserve">TC-B-035</t>
        </is>
      </c>
      <c r="B56" t="inlineStr">
        <is>
          <t xml:space="preserve">関数(検索)</t>
        </is>
      </c>
      <c r="C56" t="inlineStr">
        <is>
          <t xml:space="preserve">HLOOKUP 行方向の検索</t>
        </is>
      </c>
      <c r="D56" t="inlineStr">
        <is>
          <t xml:space="preserve">正常系</t>
        </is>
      </c>
      <c r="E56" t="inlineStr">
        <is>
          <t xml:space="preserve">A1:C2 に横持ちの表</t>
        </is>
      </c>
      <c r="F56" t="e">
        <f>HLOOKUP("B",A1:C2,2,FALSE)</f>
        <v>#N/A</v>
      </c>
      <c r="G56">
        <v>20</v>
      </c>
      <c r="H56">
        <v>20</v>
      </c>
      <c r="I56" s="3" t="inlineStr">
        <is>
          <t xml:space="preserve">PASS</t>
        </is>
      </c>
    </row>
    <row r="57">
      <c r="A57" t="inlineStr">
        <is>
          <t xml:space="preserve">TC-B-036</t>
        </is>
      </c>
      <c r="B57" t="inlineStr">
        <is>
          <t xml:space="preserve">関数(検索)</t>
        </is>
      </c>
      <c r="C57" t="inlineStr">
        <is>
          <t xml:space="preserve">INDEX 行列指定</t>
        </is>
      </c>
      <c r="D57" t="inlineStr">
        <is>
          <t xml:space="preserve">正常系</t>
        </is>
      </c>
      <c r="E57" t="inlineStr">
        <is>
          <t xml:space="preserve">A1:C3 に3x3</t>
        </is>
      </c>
      <c r="F57" t="str">
        <f>INDEX(A1:C3,2,3)</f>
        <v>四則演算と優先順位</v>
      </c>
      <c r="G57">
        <v>6</v>
      </c>
      <c r="H57">
        <v>6</v>
      </c>
      <c r="I57" s="3" t="inlineStr">
        <is>
          <t xml:space="preserve">PASS</t>
        </is>
      </c>
    </row>
    <row r="58">
      <c r="A58" t="inlineStr">
        <is>
          <t xml:space="preserve">TC-B-037</t>
        </is>
      </c>
      <c r="B58" t="inlineStr">
        <is>
          <t xml:space="preserve">関数(検索)</t>
        </is>
      </c>
      <c r="C58" t="inlineStr">
        <is>
          <t xml:space="preserve">MATCH 完全一致の位置</t>
        </is>
      </c>
      <c r="D58" t="inlineStr">
        <is>
          <t xml:space="preserve">正常系</t>
        </is>
      </c>
      <c r="E58" t="inlineStr">
        <is>
          <t xml:space="preserve">A1:A3=x,y,z</t>
        </is>
      </c>
      <c r="F58" t="e">
        <f>MATCH("y",A1:A3,0)</f>
        <v>#N/A</v>
      </c>
      <c r="G58">
        <v>2</v>
      </c>
      <c r="H58">
        <v>2</v>
      </c>
      <c r="I58" s="3" t="inlineStr">
        <is>
          <t xml:space="preserve">PASS</t>
        </is>
      </c>
    </row>
    <row r="59">
      <c r="A59" t="inlineStr">
        <is>
          <t xml:space="preserve">TC-B-038</t>
        </is>
      </c>
      <c r="B59" t="inlineStr">
        <is>
          <t xml:space="preserve">関数(検索)</t>
        </is>
      </c>
      <c r="C59" t="inlineStr">
        <is>
          <t xml:space="preserve">INDEX+MATCH の組み合わせ</t>
        </is>
      </c>
      <c r="D59" t="inlineStr">
        <is>
          <t xml:space="preserve">組み合わせ</t>
        </is>
      </c>
      <c r="E59" t="inlineStr">
        <is>
          <t xml:space="preserve">A=キー,B=値</t>
        </is>
      </c>
      <c r="F59" t="e">
        <f>INDEX(B1:B3,MATCH("y",A1:A3,0))</f>
        <v>#N/A</v>
      </c>
      <c r="G59">
        <v>20</v>
      </c>
      <c r="H59">
        <v>20</v>
      </c>
      <c r="I59" s="3" t="inlineStr">
        <is>
          <t xml:space="preserve">PASS</t>
        </is>
      </c>
    </row>
    <row r="60">
      <c r="A60" t="inlineStr">
        <is>
          <t xml:space="preserve">TC-B-039</t>
        </is>
      </c>
      <c r="B60" t="inlineStr">
        <is>
          <t xml:space="preserve">関数(検索)</t>
        </is>
      </c>
      <c r="C60" t="inlineStr">
        <is>
          <t xml:space="preserve">CHOOSE の分岐</t>
        </is>
      </c>
      <c r="D60" t="inlineStr">
        <is>
          <t xml:space="preserve">正常系</t>
        </is>
      </c>
      <c r="E60" t="inlineStr">
        <is>
          <t xml:space="preserve">-</t>
        </is>
      </c>
      <c r="F60" t="str">
        <f>CHOOSE(2,"a","b","c")</f>
        <v>b</v>
      </c>
      <c r="G60" t="inlineStr">
        <is>
          <t xml:space="preserve">b</t>
        </is>
      </c>
      <c r="H60" t="inlineStr">
        <is>
          <t xml:space="preserve">b</t>
        </is>
      </c>
      <c r="I60" s="3" t="inlineStr">
        <is>
          <t xml:space="preserve">PASS</t>
        </is>
      </c>
    </row>
    <row r="61">
      <c r="A61" t="inlineStr">
        <is>
          <t xml:space="preserve">TC-B-040</t>
        </is>
      </c>
      <c r="B61" t="inlineStr">
        <is>
          <t xml:space="preserve">関数(検索)</t>
        </is>
      </c>
      <c r="C61" t="inlineStr">
        <is>
          <t xml:space="preserve">ROWS/COLUMNS で範囲サイズ</t>
        </is>
      </c>
      <c r="D61" t="inlineStr">
        <is>
          <t xml:space="preserve">正常系</t>
        </is>
      </c>
      <c r="E61" t="inlineStr">
        <is>
          <t xml:space="preserve">-</t>
        </is>
      </c>
      <c r="F61" t="str">
        <f>ROWS(A1:C4)&amp;"x"&amp;COLUMNS(A1:C4)</f>
        <v>4x3</v>
      </c>
      <c r="G61" t="inlineStr">
        <is>
          <t xml:space="preserve">4x3</t>
        </is>
      </c>
      <c r="H61" t="inlineStr">
        <is>
          <t xml:space="preserve">4x3</t>
        </is>
      </c>
      <c r="I61" s="3" t="inlineStr">
        <is>
          <t xml:space="preserve">PASS</t>
        </is>
      </c>
    </row>
    <row r="62">
      <c r="A62" t="inlineStr">
        <is>
          <t xml:space="preserve">TC-B-041</t>
        </is>
      </c>
      <c r="B62" t="inlineStr">
        <is>
          <t xml:space="preserve">関数(文字列)</t>
        </is>
      </c>
      <c r="C62" t="inlineStr">
        <is>
          <t xml:space="preserve">LEFT は全角も1文字扱い</t>
        </is>
      </c>
      <c r="D62" t="inlineStr">
        <is>
          <t xml:space="preserve">境界値</t>
        </is>
      </c>
      <c r="E62" t="inlineStr">
        <is>
          <t xml:space="preserve">-</t>
        </is>
      </c>
      <c r="F62" t="str">
        <f>LEFT("あいう",2)</f>
        <v>あい</v>
      </c>
      <c r="G62" t="inlineStr">
        <is>
          <t xml:space="preserve">あい</t>
        </is>
      </c>
      <c r="H62" t="inlineStr">
        <is>
          <t xml:space="preserve">あい</t>
        </is>
      </c>
      <c r="I62" s="3" t="inlineStr">
        <is>
          <t xml:space="preserve">PASS</t>
        </is>
      </c>
    </row>
    <row r="63">
      <c r="A63" t="inlineStr">
        <is>
          <t xml:space="preserve">TC-B-042</t>
        </is>
      </c>
      <c r="B63" t="inlineStr">
        <is>
          <t xml:space="preserve">関数(文字列)</t>
        </is>
      </c>
      <c r="C63" t="inlineStr">
        <is>
          <t xml:space="preserve">LEN 全角文字数</t>
        </is>
      </c>
      <c r="D63" t="inlineStr">
        <is>
          <t xml:space="preserve">境界値</t>
        </is>
      </c>
      <c r="E63" t="inlineStr">
        <is>
          <t xml:space="preserve">-</t>
        </is>
      </c>
      <c r="F63">
        <f>LEN("あいう")</f>
        <v>3</v>
      </c>
      <c r="G63">
        <v>3</v>
      </c>
      <c r="H63">
        <v>3</v>
      </c>
      <c r="I63" s="3" t="inlineStr">
        <is>
          <t xml:space="preserve">PASS</t>
        </is>
      </c>
    </row>
    <row r="64">
      <c r="A64" t="inlineStr">
        <is>
          <t xml:space="preserve">TC-B-043</t>
        </is>
      </c>
      <c r="B64" t="inlineStr">
        <is>
          <t xml:space="preserve">関数(文字列)</t>
        </is>
      </c>
      <c r="C64" t="inlineStr">
        <is>
          <t xml:space="preserve">MID の開始位置</t>
        </is>
      </c>
      <c r="D64" t="inlineStr">
        <is>
          <t xml:space="preserve">正常系</t>
        </is>
      </c>
      <c r="E64" t="inlineStr">
        <is>
          <t xml:space="preserve">-</t>
        </is>
      </c>
      <c r="F64" t="str">
        <f>MID("abcdef",3,2)</f>
        <v>cd</v>
      </c>
      <c r="G64" t="inlineStr">
        <is>
          <t xml:space="preserve">cd</t>
        </is>
      </c>
      <c r="H64" t="inlineStr">
        <is>
          <t xml:space="preserve">cd</t>
        </is>
      </c>
      <c r="I64" s="3" t="inlineStr">
        <is>
          <t xml:space="preserve">PASS</t>
        </is>
      </c>
    </row>
    <row r="65">
      <c r="A65" t="inlineStr">
        <is>
          <t xml:space="preserve">TC-B-044</t>
        </is>
      </c>
      <c r="B65" t="inlineStr">
        <is>
          <t xml:space="preserve">関数(文字列)</t>
        </is>
      </c>
      <c r="C65" t="inlineStr">
        <is>
          <t xml:space="preserve">MID 開始位置0は#VALUE!</t>
        </is>
      </c>
      <c r="D65" t="inlineStr">
        <is>
          <t xml:space="preserve">異常系</t>
        </is>
      </c>
      <c r="E65" t="inlineStr">
        <is>
          <t xml:space="preserve">-</t>
        </is>
      </c>
      <c r="F65" t="str">
        <f>MID("abcdef",0,2)</f>
        <v>ab</v>
      </c>
      <c r="G65" t="inlineStr">
        <is>
          <t xml:space="preserve">#VALUE!</t>
        </is>
      </c>
      <c r="H65" t="inlineStr">
        <is>
          <t xml:space="preserve">ab</t>
        </is>
      </c>
      <c r="I65" s="4" t="inlineStr">
        <is>
          <t xml:space="preserve">FAIL</t>
        </is>
      </c>
    </row>
    <row r="66">
      <c r="A66" t="inlineStr">
        <is>
          <t xml:space="preserve">TC-B-045</t>
        </is>
      </c>
      <c r="B66" t="inlineStr">
        <is>
          <t xml:space="preserve">関数(文字列)</t>
        </is>
      </c>
      <c r="C66" t="inlineStr">
        <is>
          <t xml:space="preserve">FIND は大文字小文字を区別する</t>
        </is>
      </c>
      <c r="D66" t="inlineStr">
        <is>
          <t xml:space="preserve">同値分割</t>
        </is>
      </c>
      <c r="E66" t="inlineStr">
        <is>
          <t xml:space="preserve">-</t>
        </is>
      </c>
      <c r="F66" t="e">
        <f>FIND("B","abc")</f>
        <v>#VALUE!</v>
      </c>
      <c r="G66" t="inlineStr">
        <is>
          <t xml:space="preserve">#VALUE!</t>
        </is>
      </c>
      <c r="H66" t="inlineStr">
        <is>
          <t xml:space="preserve">#VALUE!</t>
        </is>
      </c>
      <c r="I66" s="3" t="inlineStr">
        <is>
          <t xml:space="preserve">PASS</t>
        </is>
      </c>
    </row>
    <row r="67">
      <c r="A67" t="inlineStr">
        <is>
          <t xml:space="preserve">TC-B-046</t>
        </is>
      </c>
      <c r="B67" t="inlineStr">
        <is>
          <t xml:space="preserve">関数(文字列)</t>
        </is>
      </c>
      <c r="C67" t="inlineStr">
        <is>
          <t xml:space="preserve">SEARCH は区別しない</t>
        </is>
      </c>
      <c r="D67" t="inlineStr">
        <is>
          <t xml:space="preserve">同値分割</t>
        </is>
      </c>
      <c r="E67" t="inlineStr">
        <is>
          <t xml:space="preserve">-</t>
        </is>
      </c>
      <c r="F67">
        <f>SEARCH("B","abc")</f>
        <v>2</v>
      </c>
      <c r="G67">
        <v>2</v>
      </c>
      <c r="H67">
        <v>2</v>
      </c>
      <c r="I67" s="3" t="inlineStr">
        <is>
          <t xml:space="preserve">PASS</t>
        </is>
      </c>
    </row>
    <row r="68">
      <c r="A68" t="inlineStr">
        <is>
          <t xml:space="preserve">TC-B-047</t>
        </is>
      </c>
      <c r="B68" t="inlineStr">
        <is>
          <t xml:space="preserve">関数(文字列)</t>
        </is>
      </c>
      <c r="C68" t="inlineStr">
        <is>
          <t xml:space="preserve">SUBSTITUTE の全置換</t>
        </is>
      </c>
      <c r="D68" t="inlineStr">
        <is>
          <t xml:space="preserve">正常系</t>
        </is>
      </c>
      <c r="E68" t="inlineStr">
        <is>
          <t xml:space="preserve">-</t>
        </is>
      </c>
      <c r="F68" t="str">
        <f>SUBSTITUTE("a-b-c","-","/")</f>
        <v>a/b/c</v>
      </c>
      <c r="G68" t="inlineStr">
        <is>
          <t xml:space="preserve">a/b/c</t>
        </is>
      </c>
      <c r="H68" t="inlineStr">
        <is>
          <t xml:space="preserve">a/b/c</t>
        </is>
      </c>
      <c r="I68" s="3" t="inlineStr">
        <is>
          <t xml:space="preserve">PASS</t>
        </is>
      </c>
    </row>
    <row r="69">
      <c r="A69" t="inlineStr">
        <is>
          <t xml:space="preserve">TC-B-048</t>
        </is>
      </c>
      <c r="B69" t="inlineStr">
        <is>
          <t xml:space="preserve">関数(文字列)</t>
        </is>
      </c>
      <c r="C69" t="inlineStr">
        <is>
          <t xml:space="preserve">REPLACE の位置指定置換</t>
        </is>
      </c>
      <c r="D69" t="inlineStr">
        <is>
          <t xml:space="preserve">正常系</t>
        </is>
      </c>
      <c r="E69" t="inlineStr">
        <is>
          <t xml:space="preserve">-</t>
        </is>
      </c>
      <c r="F69" t="str">
        <f>REPLACE("abcdef",2,3,"X")</f>
        <v>aXef</v>
      </c>
      <c r="G69" t="inlineStr">
        <is>
          <t xml:space="preserve">aXef</t>
        </is>
      </c>
      <c r="H69" t="inlineStr">
        <is>
          <t xml:space="preserve">aXef</t>
        </is>
      </c>
      <c r="I69" s="3" t="inlineStr">
        <is>
          <t xml:space="preserve">PASS</t>
        </is>
      </c>
    </row>
    <row r="70">
      <c r="A70" t="inlineStr">
        <is>
          <t xml:space="preserve">TC-B-049</t>
        </is>
      </c>
      <c r="B70" t="inlineStr">
        <is>
          <t xml:space="preserve">関数(文字列)</t>
        </is>
      </c>
      <c r="C70" t="inlineStr">
        <is>
          <t xml:space="preserve">TRIM 前後空白の除去</t>
        </is>
      </c>
      <c r="D70" t="inlineStr">
        <is>
          <t xml:space="preserve">境界値</t>
        </is>
      </c>
      <c r="E70" t="inlineStr">
        <is>
          <t xml:space="preserve">-</t>
        </is>
      </c>
      <c r="F70" t="str">
        <f>TRIM("  a b  ")&amp;"|"</f>
        <v>a b|</v>
      </c>
      <c r="G70" t="inlineStr">
        <is>
          <t xml:space="preserve">a b|</t>
        </is>
      </c>
      <c r="H70" t="inlineStr">
        <is>
          <t xml:space="preserve">a b|</t>
        </is>
      </c>
      <c r="I70" s="3" t="inlineStr">
        <is>
          <t xml:space="preserve">PASS</t>
        </is>
      </c>
    </row>
    <row r="71">
      <c r="A71" t="inlineStr">
        <is>
          <t xml:space="preserve">TC-B-050</t>
        </is>
      </c>
      <c r="B71" t="inlineStr">
        <is>
          <t xml:space="preserve">関数(文字列)</t>
        </is>
      </c>
      <c r="C71" t="inlineStr">
        <is>
          <t xml:space="preserve">TEXTJOIN 空セルの扱い(TRUE=無視)</t>
        </is>
      </c>
      <c r="D71" t="inlineStr">
        <is>
          <t xml:space="preserve">デシジョンテーブル</t>
        </is>
      </c>
      <c r="E71" t="inlineStr">
        <is>
          <t xml:space="preserve">A1=a,A2は空,A3=c</t>
        </is>
      </c>
      <c r="F71" t="str">
        <f>TEXTJOIN("-",TRUE,A1:A3)</f>
        <v>ケースID-TC-A-001-TC-A-002</v>
      </c>
      <c r="G71" t="inlineStr">
        <is>
          <t xml:space="preserve">a-c</t>
        </is>
      </c>
      <c r="H71" t="inlineStr">
        <is>
          <t xml:space="preserve">a-c</t>
        </is>
      </c>
      <c r="I71" s="3" t="inlineStr">
        <is>
          <t xml:space="preserve">PASS</t>
        </is>
      </c>
    </row>
    <row r="72">
      <c r="A72" t="inlineStr">
        <is>
          <t xml:space="preserve">TC-B-051</t>
        </is>
      </c>
      <c r="B72" t="inlineStr">
        <is>
          <t xml:space="preserve">関数(文字列)</t>
        </is>
      </c>
      <c r="C72" t="inlineStr">
        <is>
          <t xml:space="preserve">EXACT は完全一致判定</t>
        </is>
      </c>
      <c r="D72" t="inlineStr">
        <is>
          <t xml:space="preserve">同値分割</t>
        </is>
      </c>
      <c r="E72" t="inlineStr">
        <is>
          <t xml:space="preserve">-</t>
        </is>
      </c>
      <c r="F72" t="b">
        <f>EXACT("A","a")</f>
        <v>0</v>
      </c>
      <c r="G72" t="b">
        <v>0</v>
      </c>
      <c r="H72" t="b">
        <v>0</v>
      </c>
      <c r="I72" s="3" t="inlineStr">
        <is>
          <t xml:space="preserve">PASS</t>
        </is>
      </c>
    </row>
    <row r="73">
      <c r="A73" t="inlineStr">
        <is>
          <t xml:space="preserve">TC-B-052</t>
        </is>
      </c>
      <c r="B73" t="inlineStr">
        <is>
          <t xml:space="preserve">関数(文字列)</t>
        </is>
      </c>
      <c r="C73" t="inlineStr">
        <is>
          <t xml:space="preserve">VALUE 文字列を数値化</t>
        </is>
      </c>
      <c r="D73" t="inlineStr">
        <is>
          <t xml:space="preserve">正常系</t>
        </is>
      </c>
      <c r="E73" t="inlineStr">
        <is>
          <t xml:space="preserve">-</t>
        </is>
      </c>
      <c r="F73">
        <f>VALUE("123")+1</f>
        <v>124</v>
      </c>
      <c r="G73">
        <v>124</v>
      </c>
      <c r="H73">
        <v>124</v>
      </c>
      <c r="I73" s="3" t="inlineStr">
        <is>
          <t xml:space="preserve">PASS</t>
        </is>
      </c>
    </row>
    <row r="74">
      <c r="A74" t="inlineStr">
        <is>
          <t xml:space="preserve">TC-B-053</t>
        </is>
      </c>
      <c r="B74" t="inlineStr">
        <is>
          <t xml:space="preserve">関数(文字列)</t>
        </is>
      </c>
      <c r="C74" t="inlineStr">
        <is>
          <t xml:space="preserve">REPT の繰り返し</t>
        </is>
      </c>
      <c r="D74" t="inlineStr">
        <is>
          <t xml:space="preserve">正常系</t>
        </is>
      </c>
      <c r="E74" t="inlineStr">
        <is>
          <t xml:space="preserve">-</t>
        </is>
      </c>
      <c r="F74" t="str">
        <f>REPT("ab",3)</f>
        <v>ababab</v>
      </c>
      <c r="G74" t="inlineStr">
        <is>
          <t xml:space="preserve">ababab</t>
        </is>
      </c>
      <c r="H74" t="inlineStr">
        <is>
          <t xml:space="preserve">ababab</t>
        </is>
      </c>
      <c r="I74" s="3" t="inlineStr">
        <is>
          <t xml:space="preserve">PASS</t>
        </is>
      </c>
    </row>
    <row r="75">
      <c r="A75" t="inlineStr">
        <is>
          <t xml:space="preserve">TC-B-054</t>
        </is>
      </c>
      <c r="B75" t="inlineStr">
        <is>
          <t xml:space="preserve">関数(数値)</t>
        </is>
      </c>
      <c r="C75" t="inlineStr">
        <is>
          <t xml:space="preserve">ROUND 四捨五入(正)</t>
        </is>
      </c>
      <c r="D75" t="inlineStr">
        <is>
          <t xml:space="preserve">境界値</t>
        </is>
      </c>
      <c r="E75" t="inlineStr">
        <is>
          <t xml:space="preserve">-</t>
        </is>
      </c>
      <c r="F75">
        <f>ROUND(2.5,0)</f>
        <v>3</v>
      </c>
      <c r="G75">
        <v>3</v>
      </c>
      <c r="H75">
        <v>3</v>
      </c>
      <c r="I75" s="3" t="inlineStr">
        <is>
          <t xml:space="preserve">PASS</t>
        </is>
      </c>
    </row>
    <row r="76">
      <c r="A76" t="inlineStr">
        <is>
          <t xml:space="preserve">TC-B-055</t>
        </is>
      </c>
      <c r="B76" t="inlineStr">
        <is>
          <t xml:space="preserve">関数(数値)</t>
        </is>
      </c>
      <c r="C76" t="inlineStr">
        <is>
          <t xml:space="preserve">ROUND 負数は絶対値で四捨五入</t>
        </is>
      </c>
      <c r="D76" t="inlineStr">
        <is>
          <t xml:space="preserve">境界値</t>
        </is>
      </c>
      <c r="E76" t="inlineStr">
        <is>
          <t xml:space="preserve">-</t>
        </is>
      </c>
      <c r="F76">
        <f>ROUND(-2.5,0)</f>
        <v>-3</v>
      </c>
      <c r="G76">
        <v>-3</v>
      </c>
      <c r="H76">
        <v>-3</v>
      </c>
      <c r="I76" s="3" t="inlineStr">
        <is>
          <t xml:space="preserve">PASS</t>
        </is>
      </c>
    </row>
    <row r="77">
      <c r="A77" t="inlineStr">
        <is>
          <t xml:space="preserve">TC-B-056</t>
        </is>
      </c>
      <c r="B77" t="inlineStr">
        <is>
          <t xml:space="preserve">関数(数値)</t>
        </is>
      </c>
      <c r="C77" t="inlineStr">
        <is>
          <t xml:space="preserve">ROUND 桁数指定</t>
        </is>
      </c>
      <c r="D77" t="inlineStr">
        <is>
          <t xml:space="preserve">正常系</t>
        </is>
      </c>
      <c r="E77" t="inlineStr">
        <is>
          <t xml:space="preserve">-</t>
        </is>
      </c>
      <c r="F77">
        <f>ROUND(1.2345,2)</f>
        <v>1.23</v>
      </c>
      <c r="G77">
        <v>1.23</v>
      </c>
      <c r="H77">
        <v>1.23</v>
      </c>
      <c r="I77" s="3" t="inlineStr">
        <is>
          <t xml:space="preserve">PASS</t>
        </is>
      </c>
    </row>
    <row r="78">
      <c r="A78" t="inlineStr">
        <is>
          <t xml:space="preserve">TC-B-057</t>
        </is>
      </c>
      <c r="B78" t="inlineStr">
        <is>
          <t xml:space="preserve">関数(数値)</t>
        </is>
      </c>
      <c r="C78" t="inlineStr">
        <is>
          <t xml:space="preserve">ROUND 桁数が負(100の位で丸め)</t>
        </is>
      </c>
      <c r="D78" t="inlineStr">
        <is>
          <t xml:space="preserve">境界値</t>
        </is>
      </c>
      <c r="E78" t="inlineStr">
        <is>
          <t xml:space="preserve">-</t>
        </is>
      </c>
      <c r="F78">
        <f>ROUND(1234,-2)</f>
        <v>1200</v>
      </c>
      <c r="G78">
        <v>1200</v>
      </c>
      <c r="H78">
        <v>1200</v>
      </c>
      <c r="I78" s="3" t="inlineStr">
        <is>
          <t xml:space="preserve">PASS</t>
        </is>
      </c>
    </row>
    <row r="79">
      <c r="A79" t="inlineStr">
        <is>
          <t xml:space="preserve">TC-B-058</t>
        </is>
      </c>
      <c r="B79" t="inlineStr">
        <is>
          <t xml:space="preserve">関数(数値)</t>
        </is>
      </c>
      <c r="C79" t="inlineStr">
        <is>
          <t xml:space="preserve">ROUNDUP 負数は絶対値で切り上げ</t>
        </is>
      </c>
      <c r="D79" t="inlineStr">
        <is>
          <t xml:space="preserve">境界値</t>
        </is>
      </c>
      <c r="E79" t="inlineStr">
        <is>
          <t xml:space="preserve">-</t>
        </is>
      </c>
      <c r="F79">
        <f>ROUNDUP(-1.1,0)</f>
        <v>-2</v>
      </c>
      <c r="G79">
        <v>-2</v>
      </c>
      <c r="H79">
        <v>-2</v>
      </c>
      <c r="I79" s="3" t="inlineStr">
        <is>
          <t xml:space="preserve">PASS</t>
        </is>
      </c>
    </row>
    <row r="80">
      <c r="A80" t="inlineStr">
        <is>
          <t xml:space="preserve">TC-B-059</t>
        </is>
      </c>
      <c r="B80" t="inlineStr">
        <is>
          <t xml:space="preserve">関数(数値)</t>
        </is>
      </c>
      <c r="C80" t="inlineStr">
        <is>
          <t xml:space="preserve">ROUNDDOWN 負数は0方向へ切り捨て</t>
        </is>
      </c>
      <c r="D80" t="inlineStr">
        <is>
          <t xml:space="preserve">境界値</t>
        </is>
      </c>
      <c r="E80" t="inlineStr">
        <is>
          <t xml:space="preserve">-</t>
        </is>
      </c>
      <c r="F80">
        <f>ROUNDDOWN(-1.9,0)</f>
        <v>-1</v>
      </c>
      <c r="G80">
        <v>-1</v>
      </c>
      <c r="H80">
        <v>-1</v>
      </c>
      <c r="I80" s="3" t="inlineStr">
        <is>
          <t xml:space="preserve">PASS</t>
        </is>
      </c>
    </row>
    <row r="81">
      <c r="A81" t="inlineStr">
        <is>
          <t xml:space="preserve">TC-B-060</t>
        </is>
      </c>
      <c r="B81" t="inlineStr">
        <is>
          <t xml:space="preserve">関数(数値)</t>
        </is>
      </c>
      <c r="C81" t="inlineStr">
        <is>
          <t xml:space="preserve">INT は負数で切り下げ</t>
        </is>
      </c>
      <c r="D81" t="inlineStr">
        <is>
          <t xml:space="preserve">境界値</t>
        </is>
      </c>
      <c r="E81" t="inlineStr">
        <is>
          <t xml:space="preserve">-</t>
        </is>
      </c>
      <c r="F81">
        <f>INT(-2.5)</f>
        <v>-3</v>
      </c>
      <c r="G81">
        <v>-3</v>
      </c>
      <c r="H81">
        <v>-3</v>
      </c>
      <c r="I81" s="3" t="inlineStr">
        <is>
          <t xml:space="preserve">PASS</t>
        </is>
      </c>
    </row>
    <row r="82">
      <c r="A82" t="inlineStr">
        <is>
          <t xml:space="preserve">TC-B-061</t>
        </is>
      </c>
      <c r="B82" t="inlineStr">
        <is>
          <t xml:space="preserve">関数(数値)</t>
        </is>
      </c>
      <c r="C82" t="inlineStr">
        <is>
          <t xml:space="preserve">TRUNC は0方向へ切り捨て</t>
        </is>
      </c>
      <c r="D82" t="inlineStr">
        <is>
          <t xml:space="preserve">境界値</t>
        </is>
      </c>
      <c r="E82" t="inlineStr">
        <is>
          <t xml:space="preserve">-</t>
        </is>
      </c>
      <c r="F82">
        <f>TRUNC(-2.9)</f>
        <v>-2</v>
      </c>
      <c r="G82">
        <v>-2</v>
      </c>
      <c r="H82">
        <v>-2</v>
      </c>
      <c r="I82" s="3" t="inlineStr">
        <is>
          <t xml:space="preserve">PASS</t>
        </is>
      </c>
    </row>
    <row r="83">
      <c r="A83" t="inlineStr">
        <is>
          <t xml:space="preserve">TC-B-062</t>
        </is>
      </c>
      <c r="B83" t="inlineStr">
        <is>
          <t xml:space="preserve">関数(数値)</t>
        </is>
      </c>
      <c r="C83" t="inlineStr">
        <is>
          <t xml:space="preserve">MOD 除数が負のときの符号</t>
        </is>
      </c>
      <c r="D83" t="inlineStr">
        <is>
          <t xml:space="preserve">境界値</t>
        </is>
      </c>
      <c r="E83" t="inlineStr">
        <is>
          <t xml:space="preserve">-</t>
        </is>
      </c>
      <c r="F83">
        <f>MOD(-3,2)</f>
        <v>1</v>
      </c>
      <c r="G83">
        <v>1</v>
      </c>
      <c r="H83">
        <v>1</v>
      </c>
      <c r="I83" s="3" t="inlineStr">
        <is>
          <t xml:space="preserve">PASS</t>
        </is>
      </c>
    </row>
    <row r="84">
      <c r="A84" t="inlineStr">
        <is>
          <t xml:space="preserve">TC-B-063</t>
        </is>
      </c>
      <c r="B84" t="inlineStr">
        <is>
          <t xml:space="preserve">関数(数値)</t>
        </is>
      </c>
      <c r="C84" t="inlineStr">
        <is>
          <t xml:space="preserve">MOD 除数0は#DIV/0!</t>
        </is>
      </c>
      <c r="D84" t="inlineStr">
        <is>
          <t xml:space="preserve">異常系</t>
        </is>
      </c>
      <c r="E84" t="inlineStr">
        <is>
          <t xml:space="preserve">-</t>
        </is>
      </c>
      <c r="F84" t="e">
        <f>MOD(5,0)</f>
        <v>#DIV/0!</v>
      </c>
      <c r="G84" t="inlineStr">
        <is>
          <t xml:space="preserve">#DIV/0!</t>
        </is>
      </c>
      <c r="H84" t="inlineStr">
        <is>
          <t xml:space="preserve">#DIV/0!</t>
        </is>
      </c>
      <c r="I84" s="3" t="inlineStr">
        <is>
          <t xml:space="preserve">PASS</t>
        </is>
      </c>
    </row>
    <row r="85">
      <c r="A85" t="inlineStr">
        <is>
          <t xml:space="preserve">TC-B-064</t>
        </is>
      </c>
      <c r="B85" t="inlineStr">
        <is>
          <t xml:space="preserve">関数(数値)</t>
        </is>
      </c>
      <c r="C85" t="inlineStr">
        <is>
          <t xml:space="preserve">CEILING 基準値の倍数へ切り上げ</t>
        </is>
      </c>
      <c r="D85" t="inlineStr">
        <is>
          <t xml:space="preserve">正常系</t>
        </is>
      </c>
      <c r="E85" t="inlineStr">
        <is>
          <t xml:space="preserve">-</t>
        </is>
      </c>
      <c r="F85">
        <f>CEILING(7,3)</f>
        <v>9</v>
      </c>
      <c r="G85">
        <v>9</v>
      </c>
      <c r="H85">
        <v>9</v>
      </c>
      <c r="I85" s="3" t="inlineStr">
        <is>
          <t xml:space="preserve">PASS</t>
        </is>
      </c>
    </row>
    <row r="86">
      <c r="A86" t="inlineStr">
        <is>
          <t xml:space="preserve">TC-B-065</t>
        </is>
      </c>
      <c r="B86" t="inlineStr">
        <is>
          <t xml:space="preserve">関数(数値)</t>
        </is>
      </c>
      <c r="C86" t="inlineStr">
        <is>
          <t xml:space="preserve">FLOOR 基準値の倍数へ切り下げ</t>
        </is>
      </c>
      <c r="D86" t="inlineStr">
        <is>
          <t xml:space="preserve">正常系</t>
        </is>
      </c>
      <c r="E86" t="inlineStr">
        <is>
          <t xml:space="preserve">-</t>
        </is>
      </c>
      <c r="F86">
        <f>FLOOR(7,3)</f>
        <v>6</v>
      </c>
      <c r="G86">
        <v>6</v>
      </c>
      <c r="H86">
        <v>6</v>
      </c>
      <c r="I86" s="3" t="inlineStr">
        <is>
          <t xml:space="preserve">PASS</t>
        </is>
      </c>
    </row>
    <row r="87">
      <c r="A87" t="inlineStr">
        <is>
          <t xml:space="preserve">TC-B-066</t>
        </is>
      </c>
      <c r="B87" t="inlineStr">
        <is>
          <t xml:space="preserve">関数(数値)</t>
        </is>
      </c>
      <c r="C87" t="inlineStr">
        <is>
          <t xml:space="preserve">SQRT 負数は#NUM!</t>
        </is>
      </c>
      <c r="D87" t="inlineStr">
        <is>
          <t xml:space="preserve">異常系</t>
        </is>
      </c>
      <c r="E87" t="inlineStr">
        <is>
          <t xml:space="preserve">-</t>
        </is>
      </c>
      <c r="F87" t="e">
        <f>SQRT(-1)</f>
        <v>#NUM!</v>
      </c>
      <c r="G87" t="inlineStr">
        <is>
          <t xml:space="preserve">#NUM!</t>
        </is>
      </c>
      <c r="H87" t="inlineStr">
        <is>
          <t xml:space="preserve">#NUM!</t>
        </is>
      </c>
      <c r="I87" s="3" t="inlineStr">
        <is>
          <t xml:space="preserve">PASS</t>
        </is>
      </c>
    </row>
    <row r="88">
      <c r="A88" t="inlineStr">
        <is>
          <t xml:space="preserve">TC-B-067</t>
        </is>
      </c>
      <c r="B88" t="inlineStr">
        <is>
          <t xml:space="preserve">関数(数値)</t>
        </is>
      </c>
      <c r="C88" t="inlineStr">
        <is>
          <t xml:space="preserve">POWER と ^ の一致</t>
        </is>
      </c>
      <c r="D88" t="inlineStr">
        <is>
          <t xml:space="preserve">正常系</t>
        </is>
      </c>
      <c r="E88" t="inlineStr">
        <is>
          <t xml:space="preserve">-</t>
        </is>
      </c>
      <c r="F88">
        <f>POWER(2,10)</f>
        <v>1024</v>
      </c>
      <c r="G88">
        <v>1024</v>
      </c>
      <c r="H88">
        <v>1024</v>
      </c>
      <c r="I88" s="3" t="inlineStr">
        <is>
          <t xml:space="preserve">PASS</t>
        </is>
      </c>
    </row>
    <row r="89">
      <c r="A89" t="inlineStr">
        <is>
          <t xml:space="preserve">TC-B-068</t>
        </is>
      </c>
      <c r="B89" t="inlineStr">
        <is>
          <t xml:space="preserve">関数(数値)</t>
        </is>
      </c>
      <c r="C89" t="inlineStr">
        <is>
          <t xml:space="preserve">SUMPRODUCT 対応要素の積和</t>
        </is>
      </c>
      <c r="D89" t="inlineStr">
        <is>
          <t xml:space="preserve">正常系</t>
        </is>
      </c>
      <c r="E89" t="inlineStr">
        <is>
          <t xml:space="preserve">A=1,2,3 / B=4,5,6</t>
        </is>
      </c>
      <c r="F89" t="e">
        <f>SUMPRODUCT(A1:A3,B1:B3)</f>
        <v>#VALUE!</v>
      </c>
      <c r="G89">
        <v>32</v>
      </c>
      <c r="H89">
        <v>32</v>
      </c>
      <c r="I89" s="3" t="inlineStr">
        <is>
          <t xml:space="preserve">PASS</t>
        </is>
      </c>
    </row>
    <row r="90">
      <c r="A90" t="inlineStr">
        <is>
          <t xml:space="preserve">TC-B-069</t>
        </is>
      </c>
      <c r="B90" t="inlineStr">
        <is>
          <t xml:space="preserve">関数(数値)</t>
        </is>
      </c>
      <c r="C90" t="inlineStr">
        <is>
          <t xml:space="preserve">QUOTIENT 商の整数部</t>
        </is>
      </c>
      <c r="D90" t="inlineStr">
        <is>
          <t xml:space="preserve">正常系</t>
        </is>
      </c>
      <c r="E90" t="inlineStr">
        <is>
          <t xml:space="preserve">-</t>
        </is>
      </c>
      <c r="F90">
        <f>QUOTIENT(7,2)</f>
        <v>3</v>
      </c>
      <c r="G90">
        <v>3</v>
      </c>
      <c r="H90">
        <v>3</v>
      </c>
      <c r="I90" s="3" t="inlineStr">
        <is>
          <t xml:space="preserve">PASS</t>
        </is>
      </c>
    </row>
    <row r="91">
      <c r="A91" t="inlineStr">
        <is>
          <t xml:space="preserve">TC-B-070</t>
        </is>
      </c>
      <c r="B91" t="inlineStr">
        <is>
          <t xml:space="preserve">関数(情報)</t>
        </is>
      </c>
      <c r="C91" t="inlineStr">
        <is>
          <t xml:space="preserve">ISBLANK 空セル判定</t>
        </is>
      </c>
      <c r="D91" t="inlineStr">
        <is>
          <t xml:space="preserve">境界値</t>
        </is>
      </c>
      <c r="E91" t="inlineStr">
        <is>
          <t xml:space="preserve">A1は空</t>
        </is>
      </c>
      <c r="F91" t="b">
        <f>ISBLANK(A1)</f>
        <v>0</v>
      </c>
      <c r="G91" t="b">
        <v>1</v>
      </c>
      <c r="H91" t="b">
        <v>1</v>
      </c>
      <c r="I91" s="3" t="inlineStr">
        <is>
          <t xml:space="preserve">PASS</t>
        </is>
      </c>
    </row>
    <row r="92">
      <c r="A92" t="inlineStr">
        <is>
          <t xml:space="preserve">TC-B-071</t>
        </is>
      </c>
      <c r="B92" t="inlineStr">
        <is>
          <t xml:space="preserve">関数(情報)</t>
        </is>
      </c>
      <c r="C92" t="inlineStr">
        <is>
          <t xml:space="preserve">ISNUMBER 数値判定</t>
        </is>
      </c>
      <c r="D92" t="inlineStr">
        <is>
          <t xml:space="preserve">同値分割</t>
        </is>
      </c>
      <c r="E92" t="inlineStr">
        <is>
          <t xml:space="preserve">A1=abc</t>
        </is>
      </c>
      <c r="F92" t="b">
        <f>ISNUMBER(A1)</f>
        <v>0</v>
      </c>
      <c r="G92" t="b">
        <v>0</v>
      </c>
      <c r="H92" t="b">
        <v>0</v>
      </c>
      <c r="I92" s="3" t="inlineStr">
        <is>
          <t xml:space="preserve">PASS</t>
        </is>
      </c>
    </row>
    <row r="93">
      <c r="A93" t="inlineStr">
        <is>
          <t xml:space="preserve">TC-B-072</t>
        </is>
      </c>
      <c r="B93" t="inlineStr">
        <is>
          <t xml:space="preserve">関数(情報)</t>
        </is>
      </c>
      <c r="C93" t="inlineStr">
        <is>
          <t xml:space="preserve">ISERROR エラー判定</t>
        </is>
      </c>
      <c r="D93" t="inlineStr">
        <is>
          <t xml:space="preserve">異常系</t>
        </is>
      </c>
      <c r="E93" t="inlineStr">
        <is>
          <t xml:space="preserve">-</t>
        </is>
      </c>
      <c r="F93" t="b">
        <f>ISERROR(1/0)</f>
        <v>1</v>
      </c>
      <c r="G93" t="b">
        <v>1</v>
      </c>
      <c r="H93" t="b">
        <v>1</v>
      </c>
      <c r="I93" s="3" t="inlineStr">
        <is>
          <t xml:space="preserve">PASS</t>
        </is>
      </c>
    </row>
    <row r="94">
      <c r="A94" t="inlineStr">
        <is>
          <t xml:space="preserve">TC-B-073</t>
        </is>
      </c>
      <c r="B94" t="inlineStr">
        <is>
          <t xml:space="preserve">関数(日付)</t>
        </is>
      </c>
      <c r="C94" t="inlineStr">
        <is>
          <t xml:space="preserve">DATE から YEAR/MONTH/DAY の往復</t>
        </is>
      </c>
      <c r="D94" t="inlineStr">
        <is>
          <t xml:space="preserve">正常系</t>
        </is>
      </c>
      <c r="E94" t="inlineStr">
        <is>
          <t xml:space="preserve">-</t>
        </is>
      </c>
      <c r="F94" t="e">
        <f>YEAR(DATE(2026,8,23))&amp;"/"&amp;MONTH(...)&amp;"/"&amp;DAY(...)</f>
        <v>#NAME?</v>
      </c>
      <c r="G94" s="5">
        <v>46257</v>
      </c>
      <c r="H94" s="5">
        <v>46257</v>
      </c>
      <c r="I94" s="3" t="inlineStr">
        <is>
          <t xml:space="preserve">PASS</t>
        </is>
      </c>
    </row>
    <row r="95">
      <c r="A95" t="inlineStr">
        <is>
          <t xml:space="preserve">TC-B-074</t>
        </is>
      </c>
      <c r="B95" t="inlineStr">
        <is>
          <t xml:space="preserve">関数(日付)</t>
        </is>
      </c>
      <c r="C95" t="inlineStr">
        <is>
          <t xml:space="preserve">DATE 月の繰り上がり(13月)</t>
        </is>
      </c>
      <c r="D95" t="inlineStr">
        <is>
          <t xml:space="preserve">境界値</t>
        </is>
      </c>
      <c r="E95" t="inlineStr">
        <is>
          <t xml:space="preserve">-</t>
        </is>
      </c>
      <c r="F95">
        <f>YEAR(DATE(2026,13,1))</f>
        <v>2027</v>
      </c>
      <c r="G95">
        <v>2027</v>
      </c>
      <c r="H95">
        <v>2027</v>
      </c>
      <c r="I95" s="3" t="inlineStr">
        <is>
          <t xml:space="preserve">PASS</t>
        </is>
      </c>
    </row>
    <row r="96">
      <c r="A96" t="inlineStr">
        <is>
          <t xml:space="preserve">TC-B-075</t>
        </is>
      </c>
      <c r="B96" t="inlineStr">
        <is>
          <t xml:space="preserve">関数(日付)</t>
        </is>
      </c>
      <c r="C96" t="inlineStr">
        <is>
          <t xml:space="preserve">うるう年 2/29 の判定</t>
        </is>
      </c>
      <c r="D96" t="inlineStr">
        <is>
          <t xml:space="preserve">境界値</t>
        </is>
      </c>
      <c r="E96" t="inlineStr">
        <is>
          <t xml:space="preserve">-</t>
        </is>
      </c>
      <c r="F96">
        <f>DAY(DATE(2024,2,29))</f>
        <v>29</v>
      </c>
      <c r="G96">
        <v>29</v>
      </c>
      <c r="H96">
        <v>29</v>
      </c>
      <c r="I96" s="3" t="inlineStr">
        <is>
          <t xml:space="preserve">PASS</t>
        </is>
      </c>
    </row>
    <row r="97">
      <c r="A97" t="inlineStr">
        <is>
          <t xml:space="preserve">TC-B-076</t>
        </is>
      </c>
      <c r="B97" t="inlineStr">
        <is>
          <t xml:space="preserve">関数(日付)</t>
        </is>
      </c>
      <c r="C97" t="inlineStr">
        <is>
          <t xml:space="preserve">DATEDIF 年数差</t>
        </is>
      </c>
      <c r="D97" t="inlineStr">
        <is>
          <t xml:space="preserve">正常系</t>
        </is>
      </c>
      <c r="E97" t="inlineStr">
        <is>
          <t xml:space="preserve">-</t>
        </is>
      </c>
      <c r="F97">
        <f>DATEDIF(DATE(2020,1,1),DATE(2026,8,23),"Y")</f>
        <v>6</v>
      </c>
      <c r="G97">
        <v>6</v>
      </c>
      <c r="H97">
        <v>6</v>
      </c>
      <c r="I97" s="3" t="inlineStr">
        <is>
          <t xml:space="preserve">PASS</t>
        </is>
      </c>
    </row>
    <row r="98">
      <c r="A98" t="inlineStr">
        <is>
          <t xml:space="preserve">TC-B-077</t>
        </is>
      </c>
      <c r="B98" t="inlineStr">
        <is>
          <t xml:space="preserve">関数(日付)</t>
        </is>
      </c>
      <c r="C98" t="inlineStr">
        <is>
          <t xml:space="preserve">DATEDIF 日数差</t>
        </is>
      </c>
      <c r="D98" t="inlineStr">
        <is>
          <t xml:space="preserve">正常系</t>
        </is>
      </c>
      <c r="E98" t="inlineStr">
        <is>
          <t xml:space="preserve">-</t>
        </is>
      </c>
      <c r="F98">
        <f>DATEDIF(DATE(2026,1,1),DATE(2026,1,31),"D")</f>
        <v>30</v>
      </c>
      <c r="G98">
        <v>30</v>
      </c>
      <c r="H98">
        <v>30</v>
      </c>
      <c r="I98" s="3" t="inlineStr">
        <is>
          <t xml:space="preserve">PASS</t>
        </is>
      </c>
    </row>
    <row r="99">
      <c r="A99" t="inlineStr">
        <is>
          <t xml:space="preserve">TC-B-078</t>
        </is>
      </c>
      <c r="B99" t="inlineStr">
        <is>
          <t xml:space="preserve">関数(日付)</t>
        </is>
      </c>
      <c r="C99" t="inlineStr">
        <is>
          <t xml:space="preserve">EOMONTH 当月末(2月28日)</t>
        </is>
      </c>
      <c r="D99" t="inlineStr">
        <is>
          <t xml:space="preserve">境界値</t>
        </is>
      </c>
      <c r="E99" t="inlineStr">
        <is>
          <t xml:space="preserve">-</t>
        </is>
      </c>
      <c r="F99">
        <f>DAY(EOMONTH(DATE(2026,2,10),0))</f>
        <v>28</v>
      </c>
      <c r="G99">
        <v>28</v>
      </c>
      <c r="H99">
        <v>28</v>
      </c>
      <c r="I99" s="3" t="inlineStr">
        <is>
          <t xml:space="preserve">PASS</t>
        </is>
      </c>
    </row>
    <row r="100">
      <c r="A100" t="inlineStr">
        <is>
          <t xml:space="preserve">TC-B-079</t>
        </is>
      </c>
      <c r="B100" t="inlineStr">
        <is>
          <t xml:space="preserve">関数(日付)</t>
        </is>
      </c>
      <c r="C100" t="inlineStr">
        <is>
          <t xml:space="preserve">EDATE 翌月同日(月末補正)</t>
        </is>
      </c>
      <c r="D100" t="inlineStr">
        <is>
          <t xml:space="preserve">境界値</t>
        </is>
      </c>
      <c r="E100" t="inlineStr">
        <is>
          <t xml:space="preserve">-</t>
        </is>
      </c>
      <c r="F100">
        <f>DAY(EDATE(DATE(2026,1,31),1))</f>
        <v>3</v>
      </c>
      <c r="G100">
        <v>28</v>
      </c>
      <c r="H100">
        <v>3</v>
      </c>
      <c r="I100" s="4" t="inlineStr">
        <is>
          <t xml:space="preserve">FAIL</t>
        </is>
      </c>
    </row>
    <row r="101">
      <c r="A101" t="inlineStr">
        <is>
          <t xml:space="preserve">TC-B-080</t>
        </is>
      </c>
      <c r="B101" t="inlineStr">
        <is>
          <t xml:space="preserve">関数(日付)</t>
        </is>
      </c>
      <c r="C101" t="inlineStr">
        <is>
          <t xml:space="preserve">WEEKDAY 日曜=1</t>
        </is>
      </c>
      <c r="D101" t="inlineStr">
        <is>
          <t xml:space="preserve">境界値</t>
        </is>
      </c>
      <c r="E101" t="inlineStr">
        <is>
          <t xml:space="preserve">2026/8/23は日曜</t>
        </is>
      </c>
      <c r="F101">
        <f>WEEKDAY(DATE(2026,8,23))</f>
        <v>1</v>
      </c>
      <c r="G101">
        <v>1</v>
      </c>
      <c r="H101">
        <v>1</v>
      </c>
      <c r="I101" s="3" t="inlineStr">
        <is>
          <t xml:space="preserve">PASS</t>
        </is>
      </c>
    </row>
    <row r="102">
      <c r="A102" t="inlineStr">
        <is>
          <t xml:space="preserve">TC-B-081</t>
        </is>
      </c>
      <c r="B102" t="inlineStr">
        <is>
          <t xml:space="preserve">関数(日付)</t>
        </is>
      </c>
      <c r="C102" t="inlineStr">
        <is>
          <t xml:space="preserve">DAYS 日数差</t>
        </is>
      </c>
      <c r="D102" t="inlineStr">
        <is>
          <t xml:space="preserve">正常系</t>
        </is>
      </c>
      <c r="E102" t="inlineStr">
        <is>
          <t xml:space="preserve">-</t>
        </is>
      </c>
      <c r="F102">
        <f>DAYS(DATE(2026,3,1),DATE(2026,2,1))</f>
        <v>28</v>
      </c>
      <c r="G102">
        <v>28</v>
      </c>
      <c r="H102">
        <v>28</v>
      </c>
      <c r="I102" s="3" t="inlineStr">
        <is>
          <t xml:space="preserve">PASS</t>
        </is>
      </c>
    </row>
    <row r="103">
      <c r="A103" t="inlineStr">
        <is>
          <t xml:space="preserve">TC-B-082</t>
        </is>
      </c>
      <c r="B103" t="inlineStr">
        <is>
          <t xml:space="preserve">関数(日付)</t>
        </is>
      </c>
      <c r="C103" t="inlineStr">
        <is>
          <t xml:space="preserve">TIME の時刻シリアル値</t>
        </is>
      </c>
      <c r="D103" t="inlineStr">
        <is>
          <t xml:space="preserve">正常系</t>
        </is>
      </c>
      <c r="E103" t="inlineStr">
        <is>
          <t xml:space="preserve">-</t>
        </is>
      </c>
      <c r="F103" t="str">
        <f>HOUR(TIME(13,30,0))&amp;":"&amp;MINUTE(TIME(13,30,0))</f>
        <v>13:30</v>
      </c>
      <c r="G103" s="6">
        <v>0.5625</v>
      </c>
      <c r="H103" s="6">
        <v>0.5625</v>
      </c>
      <c r="I103" s="3" t="inlineStr">
        <is>
          <t xml:space="preserve">PASS</t>
        </is>
      </c>
    </row>
    <row r="104">
      <c r="A104" t="inlineStr">
        <is>
          <t xml:space="preserve">TC-B-083</t>
        </is>
      </c>
      <c r="B104" t="inlineStr">
        <is>
          <t xml:space="preserve">関数(財務)</t>
        </is>
      </c>
      <c r="C104" t="inlineStr">
        <is>
          <t xml:space="preserve">PMT 毎月返済額</t>
        </is>
      </c>
      <c r="D104" t="inlineStr">
        <is>
          <t xml:space="preserve">正常系</t>
        </is>
      </c>
      <c r="E104" t="inlineStr">
        <is>
          <t xml:space="preserve">年利2%/120回/1000万</t>
        </is>
      </c>
      <c r="F104">
        <f>ROUND(PMT(0.02/12,120,10000000),0)</f>
        <v>-92013</v>
      </c>
      <c r="G104">
        <v>-92013</v>
      </c>
      <c r="H104">
        <v>-92013</v>
      </c>
      <c r="I104" s="3" t="inlineStr">
        <is>
          <t xml:space="preserve">PASS</t>
        </is>
      </c>
    </row>
    <row r="105">
      <c r="A105" t="inlineStr">
        <is>
          <t xml:space="preserve">TC-B-084</t>
        </is>
      </c>
      <c r="B105" t="inlineStr">
        <is>
          <t xml:space="preserve">関数(財務)</t>
        </is>
      </c>
      <c r="C105" t="inlineStr">
        <is>
          <t xml:space="preserve">FV 将来価値</t>
        </is>
      </c>
      <c r="D105" t="inlineStr">
        <is>
          <t xml:space="preserve">正常系</t>
        </is>
      </c>
      <c r="E105" t="inlineStr">
        <is>
          <t xml:space="preserve">年利1%/10年/毎年10万積立</t>
        </is>
      </c>
      <c r="F105">
        <f>ROUND(FV(0.01,10,-100000,0),0)</f>
        <v>1046221</v>
      </c>
      <c r="G105">
        <v>1046221</v>
      </c>
      <c r="H105">
        <v>1046221</v>
      </c>
      <c r="I105" s="3" t="inlineStr">
        <is>
          <t xml:space="preserve">PASS</t>
        </is>
      </c>
    </row>
    <row r="106">
      <c r="A106" t="inlineStr">
        <is>
          <t xml:space="preserve">TC-B-085</t>
        </is>
      </c>
      <c r="B106" t="inlineStr">
        <is>
          <t xml:space="preserve">関数(財務)</t>
        </is>
      </c>
      <c r="C106" t="inlineStr">
        <is>
          <t xml:space="preserve">PV 現在価値</t>
        </is>
      </c>
      <c r="D106" t="inlineStr">
        <is>
          <t xml:space="preserve">正常系</t>
        </is>
      </c>
      <c r="E106" t="inlineStr">
        <is>
          <t xml:space="preserve">年利1%/10年/毎年10万受取</t>
        </is>
      </c>
      <c r="F106">
        <f>ROUND(PV(0.01,10,-100000,0),0)</f>
        <v>947130</v>
      </c>
      <c r="G106">
        <v>947130</v>
      </c>
      <c r="H106">
        <v>947130</v>
      </c>
      <c r="I106" s="3" t="inlineStr">
        <is>
          <t xml:space="preserve">PASS</t>
        </is>
      </c>
    </row>
    <row r="107">
      <c r="A107" t="inlineStr">
        <is>
          <t xml:space="preserve">TC-B-086</t>
        </is>
      </c>
      <c r="B107" t="inlineStr">
        <is>
          <t xml:space="preserve">関数(文字列)</t>
        </is>
      </c>
      <c r="C107" t="inlineStr">
        <is>
          <t xml:space="preserve">TEXT 桁区切り書式</t>
        </is>
      </c>
      <c r="D107" t="inlineStr">
        <is>
          <t xml:space="preserve">正常系</t>
        </is>
      </c>
      <c r="E107" t="inlineStr">
        <is>
          <t xml:space="preserve">-</t>
        </is>
      </c>
      <c r="F107" t="str">
        <f>TEXT(1234567,"#,##0")</f>
        <v>1,234,567</v>
      </c>
      <c r="G107" s="7">
        <v>1234567</v>
      </c>
      <c r="H107" s="7">
        <v>1234567</v>
      </c>
      <c r="I107" s="3" t="inlineStr">
        <is>
          <t xml:space="preserve">PASS</t>
        </is>
      </c>
    </row>
    <row r="108">
      <c r="A108" t="inlineStr">
        <is>
          <t xml:space="preserve">TC-B-087</t>
        </is>
      </c>
      <c r="B108" t="inlineStr">
        <is>
          <t xml:space="preserve">関数(文字列)</t>
        </is>
      </c>
      <c r="C108" t="inlineStr">
        <is>
          <t xml:space="preserve">TEXT パーセント書式</t>
        </is>
      </c>
      <c r="D108" t="inlineStr">
        <is>
          <t xml:space="preserve">正常系</t>
        </is>
      </c>
      <c r="E108" t="inlineStr">
        <is>
          <t xml:space="preserve">-</t>
        </is>
      </c>
      <c r="F108" t="str">
        <f>TEXT(0.256,"0.0%")</f>
        <v>25.6%</v>
      </c>
      <c r="G108" s="2">
        <v>0.256</v>
      </c>
      <c r="H108" s="2">
        <v>0.256</v>
      </c>
      <c r="I108" s="3" t="inlineStr">
        <is>
          <t xml:space="preserve">PASS</t>
        </is>
      </c>
    </row>
    <row r="109">
      <c r="A109" t="inlineStr">
        <is>
          <t xml:space="preserve">TC-B-088</t>
        </is>
      </c>
      <c r="B109" t="inlineStr">
        <is>
          <t xml:space="preserve">関数(文字列)</t>
        </is>
      </c>
      <c r="C109" t="inlineStr">
        <is>
          <t xml:space="preserve">TEXT 日付書式</t>
        </is>
      </c>
      <c r="D109" t="inlineStr">
        <is>
          <t xml:space="preserve">正常系</t>
        </is>
      </c>
      <c r="E109" t="inlineStr">
        <is>
          <t xml:space="preserve">-</t>
        </is>
      </c>
      <c r="F109" t="str">
        <f>TEXT(DATE(2026,8,5),"yyyy/mm/dd")</f>
        <v>2026/08/05</v>
      </c>
      <c r="G109" s="5">
        <v>46239</v>
      </c>
      <c r="H109" s="5">
        <v>46239</v>
      </c>
      <c r="I109" s="3" t="inlineStr">
        <is>
          <t xml:space="preserve">PASS</t>
        </is>
      </c>
    </row>
    <row r="110">
      <c r="A110" t="inlineStr">
        <is>
          <t xml:space="preserve">TC-C-001</t>
        </is>
      </c>
      <c r="B110" t="inlineStr">
        <is>
          <t xml:space="preserve">参照</t>
        </is>
      </c>
      <c r="C110" t="inlineStr">
        <is>
          <t xml:space="preserve">相対参照の計算</t>
        </is>
      </c>
      <c r="D110" t="inlineStr">
        <is>
          <t xml:space="preserve">正常系</t>
        </is>
      </c>
      <c r="E110" t="inlineStr">
        <is>
          <t xml:space="preserve">A1=10</t>
        </is>
      </c>
      <c r="F110" t="inlineStr">
        <is>
          <t xml:space="preserve">B1に =A1*2</t>
        </is>
      </c>
      <c r="G110">
        <v>20</v>
      </c>
      <c r="H110">
        <v>20</v>
      </c>
      <c r="I110" s="3" t="inlineStr">
        <is>
          <t xml:space="preserve">PASS</t>
        </is>
      </c>
    </row>
    <row r="111">
      <c r="A111" t="inlineStr">
        <is>
          <t xml:space="preserve">TC-C-002</t>
        </is>
      </c>
      <c r="B111" t="inlineStr">
        <is>
          <t xml:space="preserve">参照</t>
        </is>
      </c>
      <c r="C111" t="inlineStr">
        <is>
          <t xml:space="preserve">絶対参照 $A$1 の解決</t>
        </is>
      </c>
      <c r="D111" t="inlineStr">
        <is>
          <t xml:space="preserve">正常系</t>
        </is>
      </c>
      <c r="E111" t="inlineStr">
        <is>
          <t xml:space="preserve">A1=10</t>
        </is>
      </c>
      <c r="F111" t="inlineStr">
        <is>
          <t xml:space="preserve">B1に =$A$1*2</t>
        </is>
      </c>
      <c r="G111">
        <v>20</v>
      </c>
      <c r="H111">
        <v>20</v>
      </c>
      <c r="I111" s="3" t="inlineStr">
        <is>
          <t xml:space="preserve">PASS</t>
        </is>
      </c>
    </row>
    <row r="112">
      <c r="A112" t="inlineStr">
        <is>
          <t xml:space="preserve">TC-C-003</t>
        </is>
      </c>
      <c r="B112" t="inlineStr">
        <is>
          <t xml:space="preserve">参照</t>
        </is>
      </c>
      <c r="C112" t="inlineStr">
        <is>
          <t xml:space="preserve">複合参照 $A1 / A$1 の解決</t>
        </is>
      </c>
      <c r="D112" t="inlineStr">
        <is>
          <t xml:space="preserve">境界値</t>
        </is>
      </c>
      <c r="E112" t="inlineStr">
        <is>
          <t xml:space="preserve">A1=10</t>
        </is>
      </c>
      <c r="F112" t="inlineStr">
        <is>
          <t xml:space="preserve">B1に =$A1+A$1</t>
        </is>
      </c>
      <c r="G112">
        <v>20</v>
      </c>
      <c r="H112">
        <v>20</v>
      </c>
      <c r="I112" s="3" t="inlineStr">
        <is>
          <t xml:space="preserve">PASS</t>
        </is>
      </c>
    </row>
    <row r="113">
      <c r="A113" t="inlineStr">
        <is>
          <t xml:space="preserve">TC-C-004</t>
        </is>
      </c>
      <c r="B113" t="inlineStr">
        <is>
          <t xml:space="preserve">参照</t>
        </is>
      </c>
      <c r="C113" t="inlineStr">
        <is>
          <t xml:space="preserve">範囲参照の合計</t>
        </is>
      </c>
      <c r="D113" t="inlineStr">
        <is>
          <t xml:space="preserve">正常系</t>
        </is>
      </c>
      <c r="E113" t="inlineStr">
        <is>
          <t xml:space="preserve">A1:C1=1,2,3</t>
        </is>
      </c>
      <c r="F113">
        <f>SUM(A1:C1)</f>
        <v>0</v>
      </c>
      <c r="G113">
        <v>6</v>
      </c>
      <c r="H113">
        <v>6</v>
      </c>
      <c r="I113" s="3" t="inlineStr">
        <is>
          <t xml:space="preserve">PASS</t>
        </is>
      </c>
    </row>
    <row r="114">
      <c r="A114" t="inlineStr">
        <is>
          <t xml:space="preserve">TC-C-005</t>
        </is>
      </c>
      <c r="B114" t="inlineStr">
        <is>
          <t xml:space="preserve">参照</t>
        </is>
      </c>
      <c r="C114" t="inlineStr">
        <is>
          <t xml:space="preserve">逆順範囲 C1:A1 の正規化</t>
        </is>
      </c>
      <c r="D114" t="inlineStr">
        <is>
          <t xml:space="preserve">エラー推測</t>
        </is>
      </c>
      <c r="E114" t="inlineStr">
        <is>
          <t xml:space="preserve">A1:C1=1,2,3</t>
        </is>
      </c>
      <c r="F114">
        <f>SUM(C1:A1)</f>
        <v>0</v>
      </c>
      <c r="G114">
        <v>6</v>
      </c>
      <c r="H114">
        <v>6</v>
      </c>
      <c r="I114" s="3" t="inlineStr">
        <is>
          <t xml:space="preserve">PASS</t>
        </is>
      </c>
    </row>
    <row r="115">
      <c r="A115" t="inlineStr">
        <is>
          <t xml:space="preserve">TC-C-006</t>
        </is>
      </c>
      <c r="B115" t="inlineStr">
        <is>
          <t xml:space="preserve">参照</t>
        </is>
      </c>
      <c r="C115" t="inlineStr">
        <is>
          <t xml:space="preserve">2段の間接参照(A→B→C)</t>
        </is>
      </c>
      <c r="D115" t="inlineStr">
        <is>
          <t xml:space="preserve">正常系</t>
        </is>
      </c>
      <c r="E115" t="inlineStr">
        <is>
          <t xml:space="preserve">A1=5</t>
        </is>
      </c>
      <c r="F115" t="inlineStr">
        <is>
          <t xml:space="preserve">B1==A1*2, C1==B1+1</t>
        </is>
      </c>
      <c r="G115">
        <v>11</v>
      </c>
      <c r="H115">
        <v>11</v>
      </c>
      <c r="I115" s="3" t="inlineStr">
        <is>
          <t xml:space="preserve">PASS</t>
        </is>
      </c>
    </row>
    <row r="116">
      <c r="A116" t="inlineStr">
        <is>
          <t xml:space="preserve">TC-C-007</t>
        </is>
      </c>
      <c r="B116" t="inlineStr">
        <is>
          <t xml:space="preserve">参照</t>
        </is>
      </c>
      <c r="C116" t="inlineStr">
        <is>
          <t xml:space="preserve">シート間参照</t>
        </is>
      </c>
      <c r="D116" t="inlineStr">
        <is>
          <t xml:space="preserve">正常系</t>
        </is>
      </c>
      <c r="E116" t="inlineStr">
        <is>
          <t xml:space="preserve">Sheet2!A1=7</t>
        </is>
      </c>
      <c r="F116" t="inlineStr">
        <is>
          <t xml:space="preserve">Sheet1に =Sheet2!A1*3</t>
        </is>
      </c>
      <c r="G116">
        <v>21</v>
      </c>
      <c r="H116">
        <v>21</v>
      </c>
      <c r="I116" s="3" t="inlineStr">
        <is>
          <t xml:space="preserve">PASS</t>
        </is>
      </c>
    </row>
    <row r="117">
      <c r="A117" t="inlineStr">
        <is>
          <t xml:space="preserve">TC-C-008</t>
        </is>
      </c>
      <c r="B117" t="inlineStr">
        <is>
          <t xml:space="preserve">参照</t>
        </is>
      </c>
      <c r="C117" t="inlineStr">
        <is>
          <t xml:space="preserve">空白入りシート名(クォート付き)参照</t>
        </is>
      </c>
      <c r="D117" t="inlineStr">
        <is>
          <t xml:space="preserve">境界値</t>
        </is>
      </c>
      <c r="E117" t="inlineStr">
        <is>
          <t xml:space="preserve">'売上 表'!A1=100</t>
        </is>
      </c>
      <c r="F117" t="e">
        <f>'売上 表'!A1+1</f>
        <v>#REF!</v>
      </c>
      <c r="G117">
        <v>101</v>
      </c>
      <c r="H117">
        <v>101</v>
      </c>
      <c r="I117" s="3" t="inlineStr">
        <is>
          <t xml:space="preserve">PASS</t>
        </is>
      </c>
    </row>
    <row r="118">
      <c r="A118" t="inlineStr">
        <is>
          <t xml:space="preserve">TC-C-009</t>
        </is>
      </c>
      <c r="B118" t="inlineStr">
        <is>
          <t xml:space="preserve">参照</t>
        </is>
      </c>
      <c r="C118" t="inlineStr">
        <is>
          <t xml:space="preserve">存在しないシート参照は#REF!</t>
        </is>
      </c>
      <c r="D118" t="inlineStr">
        <is>
          <t xml:space="preserve">異常系</t>
        </is>
      </c>
      <c r="E118" t="inlineStr">
        <is>
          <t xml:space="preserve">Sheet9は存在しない</t>
        </is>
      </c>
      <c r="F118" t="e">
        <f>Sheet9!A1</f>
        <v>#REF!</v>
      </c>
      <c r="G118" t="inlineStr">
        <is>
          <t xml:space="preserve">#REF!</t>
        </is>
      </c>
      <c r="H118" t="inlineStr">
        <is>
          <t xml:space="preserve">#REF!</t>
        </is>
      </c>
      <c r="I118" s="3" t="inlineStr">
        <is>
          <t xml:space="preserve">PASS</t>
        </is>
      </c>
    </row>
    <row r="119">
      <c r="A119" t="inlineStr">
        <is>
          <t xml:space="preserve">TC-C-010</t>
        </is>
      </c>
      <c r="B119" t="inlineStr">
        <is>
          <t xml:space="preserve">参照</t>
        </is>
      </c>
      <c r="C119" t="inlineStr">
        <is>
          <t xml:space="preserve">シート間の範囲集計</t>
        </is>
      </c>
      <c r="D119" t="inlineStr">
        <is>
          <t xml:space="preserve">正常系</t>
        </is>
      </c>
      <c r="E119" t="inlineStr">
        <is>
          <t xml:space="preserve">Sheet2!A1:A3=1,2,3</t>
        </is>
      </c>
      <c r="F119" t="e">
        <f>SUM(Sheet2!A1:A3)</f>
        <v>#REF!</v>
      </c>
      <c r="G119">
        <v>6</v>
      </c>
      <c r="H119">
        <v>6</v>
      </c>
      <c r="I119" s="3" t="inlineStr">
        <is>
          <t xml:space="preserve">PASS</t>
        </is>
      </c>
    </row>
    <row r="120">
      <c r="A120" t="inlineStr">
        <is>
          <t xml:space="preserve">TC-C-011</t>
        </is>
      </c>
      <c r="B120" t="inlineStr">
        <is>
          <t xml:space="preserve">エラー処理</t>
        </is>
      </c>
      <c r="C120" t="inlineStr">
        <is>
          <t xml:space="preserve">自己参照の循環検出</t>
        </is>
      </c>
      <c r="D120" t="inlineStr">
        <is>
          <t xml:space="preserve">異常系</t>
        </is>
      </c>
      <c r="E120" t="inlineStr">
        <is>
          <t xml:space="preserve">-</t>
        </is>
      </c>
      <c r="F120" t="inlineStr">
        <is>
          <t xml:space="preserve">A1に =A1+1</t>
        </is>
      </c>
      <c r="G120" t="inlineStr">
        <is>
          <t xml:space="preserve">#CIRC!</t>
        </is>
      </c>
      <c r="H120" t="inlineStr">
        <is>
          <t xml:space="preserve">#CIRC!</t>
        </is>
      </c>
      <c r="I120" s="3" t="inlineStr">
        <is>
          <t xml:space="preserve">PASS</t>
        </is>
      </c>
    </row>
    <row r="121">
      <c r="A121" t="inlineStr">
        <is>
          <t xml:space="preserve">TC-C-012</t>
        </is>
      </c>
      <c r="B121" t="inlineStr">
        <is>
          <t xml:space="preserve">エラー処理</t>
        </is>
      </c>
      <c r="C121" t="inlineStr">
        <is>
          <t xml:space="preserve">2セル間の相互循環検出</t>
        </is>
      </c>
      <c r="D121" t="inlineStr">
        <is>
          <t xml:space="preserve">異常系</t>
        </is>
      </c>
      <c r="E121" t="inlineStr">
        <is>
          <t xml:space="preserve">-</t>
        </is>
      </c>
      <c r="F121" t="inlineStr">
        <is>
          <t xml:space="preserve">A1==B1, B1==A1</t>
        </is>
      </c>
      <c r="G121" t="inlineStr">
        <is>
          <t xml:space="preserve">#CIRC!</t>
        </is>
      </c>
      <c r="H121" t="inlineStr">
        <is>
          <t xml:space="preserve">#CIRC!</t>
        </is>
      </c>
      <c r="I121" s="3" t="inlineStr">
        <is>
          <t xml:space="preserve">PASS</t>
        </is>
      </c>
    </row>
    <row r="122">
      <c r="A122" t="inlineStr">
        <is>
          <t xml:space="preserve">TC-C-013</t>
        </is>
      </c>
      <c r="B122" t="inlineStr">
        <is>
          <t xml:space="preserve">エラー処理</t>
        </is>
      </c>
      <c r="C122" t="inlineStr">
        <is>
          <t xml:space="preserve">未定義関数は#NAME?</t>
        </is>
      </c>
      <c r="D122" t="inlineStr">
        <is>
          <t xml:space="preserve">異常系</t>
        </is>
      </c>
      <c r="E122" t="inlineStr">
        <is>
          <t xml:space="preserve">-</t>
        </is>
      </c>
      <c r="F122" t="e">
        <f>NOSUCHFUNC(1)</f>
        <v>#NAME?</v>
      </c>
      <c r="G122" t="inlineStr">
        <is>
          <t xml:space="preserve">#NAME?</t>
        </is>
      </c>
      <c r="H122" t="inlineStr">
        <is>
          <t xml:space="preserve">#NAME?</t>
        </is>
      </c>
      <c r="I122" s="3" t="inlineStr">
        <is>
          <t xml:space="preserve">PASS</t>
        </is>
      </c>
    </row>
    <row r="123">
      <c r="A123" t="inlineStr">
        <is>
          <t xml:space="preserve">TC-C-014</t>
        </is>
      </c>
      <c r="B123" t="inlineStr">
        <is>
          <t xml:space="preserve">エラー処理</t>
        </is>
      </c>
      <c r="C123" t="inlineStr">
        <is>
          <t xml:space="preserve">構文エラー(括弧不一致)でも落ちない</t>
        </is>
      </c>
      <c r="D123" t="inlineStr">
        <is>
          <t xml:space="preserve">異常系</t>
        </is>
      </c>
      <c r="E123" t="inlineStr">
        <is>
          <t xml:space="preserve">-</t>
        </is>
      </c>
      <c r="F123" t="e">
        <f>SUM(A1:A3 を入力</f>
        <v>#NAME?</v>
      </c>
      <c r="G123" t="inlineStr">
        <is>
          <t xml:space="preserve">エラー値を表示しアプリは継続</t>
        </is>
      </c>
      <c r="H123" t="inlineStr">
        <is>
          <t xml:space="preserve">エラー値を表示しアプリは継続</t>
        </is>
      </c>
      <c r="I123" s="3" t="inlineStr">
        <is>
          <t xml:space="preserve">PASS</t>
        </is>
      </c>
    </row>
    <row r="124">
      <c r="A124" t="inlineStr">
        <is>
          <t xml:space="preserve">TC-C-015</t>
        </is>
      </c>
      <c r="B124" t="inlineStr">
        <is>
          <t xml:space="preserve">エラー処理</t>
        </is>
      </c>
      <c r="C124" t="inlineStr">
        <is>
          <t xml:space="preserve">エラーの伝播(参照先がエラー)</t>
        </is>
      </c>
      <c r="D124" t="inlineStr">
        <is>
          <t xml:space="preserve">異常系</t>
        </is>
      </c>
      <c r="E124" t="inlineStr">
        <is>
          <t xml:space="preserve">A1==1/0</t>
        </is>
      </c>
      <c r="F124" t="inlineStr">
        <is>
          <t xml:space="preserve">B1に =A1+1</t>
        </is>
      </c>
      <c r="G124" t="inlineStr">
        <is>
          <t xml:space="preserve">#DIV/0!</t>
        </is>
      </c>
      <c r="H124" t="inlineStr">
        <is>
          <t xml:space="preserve">#DIV/0!</t>
        </is>
      </c>
      <c r="I124" s="3" t="inlineStr">
        <is>
          <t xml:space="preserve">PASS</t>
        </is>
      </c>
    </row>
    <row r="125">
      <c r="A125" t="inlineStr">
        <is>
          <t xml:space="preserve">TC-C-016</t>
        </is>
      </c>
      <c r="B125" t="inlineStr">
        <is>
          <t xml:space="preserve">エラー処理</t>
        </is>
      </c>
      <c r="C125" t="inlineStr">
        <is>
          <t xml:space="preserve">引数不足の関数呼び出し</t>
        </is>
      </c>
      <c r="D125" t="inlineStr">
        <is>
          <t xml:space="preserve">異常系</t>
        </is>
      </c>
      <c r="E125" t="inlineStr">
        <is>
          <t xml:space="preserve">-</t>
        </is>
      </c>
      <c r="F125" t="e">
        <f>ROUND()</f>
        <v>#VALUE!</v>
      </c>
      <c r="G125" t="inlineStr">
        <is>
          <t xml:space="preserve">#VALUE!</t>
        </is>
      </c>
      <c r="H125" t="inlineStr">
        <is>
          <t xml:space="preserve">#VALUE!</t>
        </is>
      </c>
      <c r="I125" s="3" t="inlineStr">
        <is>
          <t xml:space="preserve">PASS</t>
        </is>
      </c>
    </row>
    <row r="126">
      <c r="A126" t="inlineStr">
        <is>
          <t xml:space="preserve">TC-C-017</t>
        </is>
      </c>
      <c r="B126" t="inlineStr">
        <is>
          <t xml:space="preserve">エラー処理</t>
        </is>
      </c>
      <c r="C126" t="inlineStr">
        <is>
          <t xml:space="preserve">大量ネストでもスタックが溢れない</t>
        </is>
      </c>
      <c r="D126" t="inlineStr">
        <is>
          <t xml:space="preserve">負荷</t>
        </is>
      </c>
      <c r="E126" t="inlineStr">
        <is>
          <t xml:space="preserve">-</t>
        </is>
      </c>
      <c r="F126" t="inlineStr">
        <is>
          <t xml:space="preserve">ABS()を100段ネスト</t>
        </is>
      </c>
      <c r="G126">
        <v>1</v>
      </c>
      <c r="H126">
        <v>1</v>
      </c>
      <c r="I126" s="3" t="inlineStr">
        <is>
          <t xml:space="preserve">PASS</t>
        </is>
      </c>
    </row>
    <row r="127">
      <c r="A127" t="inlineStr">
        <is>
          <t xml:space="preserve">TC-C-018</t>
        </is>
      </c>
      <c r="B127" t="inlineStr">
        <is>
          <t xml:space="preserve">エラー処理</t>
        </is>
      </c>
      <c r="C127" t="inlineStr">
        <is>
          <t xml:space="preserve">長い連鎖参照(1000段)の再計算</t>
        </is>
      </c>
      <c r="D127" t="inlineStr">
        <is>
          <t xml:space="preserve">負荷</t>
        </is>
      </c>
      <c r="E127" t="inlineStr">
        <is>
          <t xml:space="preserve">A1=1</t>
        </is>
      </c>
      <c r="F127" t="inlineStr">
        <is>
          <t xml:space="preserve">A2==A1+1 を1000行連鎖</t>
        </is>
      </c>
      <c r="G127">
        <v>1000</v>
      </c>
      <c r="H127">
        <v>1000</v>
      </c>
      <c r="I127" s="3" t="inlineStr">
        <is>
          <t xml:space="preserve">PASS</t>
        </is>
      </c>
    </row>
    <row r="128">
      <c r="A128" t="inlineStr">
        <is>
          <t xml:space="preserve">TC-C-019</t>
        </is>
      </c>
      <c r="B128" t="inlineStr">
        <is>
          <t xml:space="preserve">エラー処理</t>
        </is>
      </c>
      <c r="C128" t="inlineStr">
        <is>
          <t xml:space="preserve">TRUE/FALSE を括弧なしで書ける</t>
        </is>
      </c>
      <c r="D128" t="inlineStr">
        <is>
          <t xml:space="preserve">エラー推測</t>
        </is>
      </c>
      <c r="E128" t="inlineStr">
        <is>
          <t xml:space="preserve">-</t>
        </is>
      </c>
      <c r="F128" t="str">
        <f>IF(TRUE,"y","n")</f>
        <v>y</v>
      </c>
      <c r="G128" t="inlineStr">
        <is>
          <t xml:space="preserve">y</t>
        </is>
      </c>
      <c r="H128" t="inlineStr">
        <is>
          <t xml:space="preserve">y</t>
        </is>
      </c>
      <c r="I128" s="3" t="inlineStr">
        <is>
          <t xml:space="preserve">PASS</t>
        </is>
      </c>
    </row>
    <row r="129">
      <c r="A129" t="inlineStr">
        <is>
          <t xml:space="preserve">TC-C-020</t>
        </is>
      </c>
      <c r="B129" t="inlineStr">
        <is>
          <t xml:space="preserve">エラー処理</t>
        </is>
      </c>
      <c r="C129" t="inlineStr">
        <is>
          <t xml:space="preserve">VLOOKUPの第4引数にFALSEを直接指定</t>
        </is>
      </c>
      <c r="D129" t="inlineStr">
        <is>
          <t xml:space="preserve">エラー推測</t>
        </is>
      </c>
      <c r="E129" t="inlineStr">
        <is>
          <t xml:space="preserve">A1:B2に表</t>
        </is>
      </c>
      <c r="F129" t="e">
        <f>VLOOKUP("B",A1:B2,2,FALSE)</f>
        <v>#N/A</v>
      </c>
      <c r="G129">
        <v>200</v>
      </c>
      <c r="H129">
        <v>200</v>
      </c>
      <c r="I129" s="3" t="inlineStr">
        <is>
          <t xml:space="preserve">PASS</t>
        </is>
      </c>
    </row>
    <row r="130">
      <c r="A130" t="inlineStr">
        <is>
          <t xml:space="preserve">TC-D-001</t>
        </is>
      </c>
      <c r="B130" t="inlineStr">
        <is>
          <t xml:space="preserve">行列操作</t>
        </is>
      </c>
      <c r="C130" t="inlineStr">
        <is>
          <t xml:space="preserve">行挿入で下の値がずれる</t>
        </is>
      </c>
      <c r="D130" t="inlineStr">
        <is>
          <t xml:space="preserve">正常系</t>
        </is>
      </c>
      <c r="E130" t="inlineStr">
        <is>
          <t xml:space="preserve">A1=1,A2=2</t>
        </is>
      </c>
      <c r="F130" t="inlineStr">
        <is>
          <t xml:space="preserve">1行目に行を挿入</t>
        </is>
      </c>
      <c r="G130" t="inlineStr">
        <is>
          <t xml:space="preserve">A2=1 / A3=2</t>
        </is>
      </c>
      <c r="H130" t="inlineStr">
        <is>
          <t xml:space="preserve">A2=1 / A3=2</t>
        </is>
      </c>
      <c r="I130" s="3" t="inlineStr">
        <is>
          <t xml:space="preserve">PASS</t>
        </is>
      </c>
    </row>
    <row r="131">
      <c r="A131" t="inlineStr">
        <is>
          <t xml:space="preserve">TC-D-002</t>
        </is>
      </c>
      <c r="B131" t="inlineStr">
        <is>
          <t xml:space="preserve">行列操作</t>
        </is>
      </c>
      <c r="C131" t="inlineStr">
        <is>
          <t xml:space="preserve">行挿入で数式の参照が追随する</t>
        </is>
      </c>
      <c r="D131" t="inlineStr">
        <is>
          <t xml:space="preserve">正常系</t>
        </is>
      </c>
      <c r="E131" t="inlineStr">
        <is>
          <t xml:space="preserve">A1=1,A2=2,B1==SUM(A1:A2)</t>
        </is>
      </c>
      <c r="F131" t="inlineStr">
        <is>
          <t xml:space="preserve">1行目に行を挿入</t>
        </is>
      </c>
      <c r="G131">
        <f>SUM(A2:A3)</f>
        <v>0</v>
      </c>
      <c r="H131">
        <f>SUM(A2:A3)</f>
        <v>0</v>
      </c>
      <c r="I131" s="3" t="inlineStr">
        <is>
          <t xml:space="preserve">PASS</t>
        </is>
      </c>
    </row>
    <row r="132">
      <c r="A132" t="inlineStr">
        <is>
          <t xml:space="preserve">TC-D-003</t>
        </is>
      </c>
      <c r="B132" t="inlineStr">
        <is>
          <t xml:space="preserve">行列操作</t>
        </is>
      </c>
      <c r="C132" t="inlineStr">
        <is>
          <t xml:space="preserve">行挿入後も合計値が変わらない</t>
        </is>
      </c>
      <c r="D132" t="inlineStr">
        <is>
          <t xml:space="preserve">正常系</t>
        </is>
      </c>
      <c r="E132" t="inlineStr">
        <is>
          <t xml:space="preserve">A1=1,A2=2,B1==SUM(A1:A2)</t>
        </is>
      </c>
      <c r="F132" t="inlineStr">
        <is>
          <t xml:space="preserve">1行目に行を挿入し再計算</t>
        </is>
      </c>
      <c r="G132">
        <v>3</v>
      </c>
      <c r="H132">
        <v>3</v>
      </c>
      <c r="I132" s="3" t="inlineStr">
        <is>
          <t xml:space="preserve">PASS</t>
        </is>
      </c>
    </row>
    <row r="133">
      <c r="A133" t="inlineStr">
        <is>
          <t xml:space="preserve">TC-D-004</t>
        </is>
      </c>
      <c r="B133" t="inlineStr">
        <is>
          <t xml:space="preserve">行列操作</t>
        </is>
      </c>
      <c r="C133" t="inlineStr">
        <is>
          <t xml:space="preserve">列挿入で数式の参照が追随する</t>
        </is>
      </c>
      <c r="D133" t="inlineStr">
        <is>
          <t xml:space="preserve">正常系</t>
        </is>
      </c>
      <c r="E133" t="inlineStr">
        <is>
          <t xml:space="preserve">A1=1,B1=2,C1==SUM(A1:B1)</t>
        </is>
      </c>
      <c r="F133" t="inlineStr">
        <is>
          <t xml:space="preserve">A列の前に列を挿入</t>
        </is>
      </c>
      <c r="G133">
        <f>SUM(B1:C1)</f>
        <v>0</v>
      </c>
      <c r="H133">
        <f>SUM(B1:C1)</f>
        <v>0</v>
      </c>
      <c r="I133" s="3" t="inlineStr">
        <is>
          <t xml:space="preserve">PASS</t>
        </is>
      </c>
    </row>
    <row r="134">
      <c r="A134" t="inlineStr">
        <is>
          <t xml:space="preserve">TC-D-005</t>
        </is>
      </c>
      <c r="B134" t="inlineStr">
        <is>
          <t xml:space="preserve">行列操作</t>
        </is>
      </c>
      <c r="C134" t="inlineStr">
        <is>
          <t xml:space="preserve">参照先の行を削除すると#REF!</t>
        </is>
      </c>
      <c r="D134" t="inlineStr">
        <is>
          <t xml:space="preserve">異常系</t>
        </is>
      </c>
      <c r="E134" t="inlineStr">
        <is>
          <t xml:space="preserve">A1=1,B5==A1*2</t>
        </is>
      </c>
      <c r="F134" t="inlineStr">
        <is>
          <t xml:space="preserve">1行目を削除しB4を確認</t>
        </is>
      </c>
      <c r="G134" t="inlineStr">
        <is>
          <t xml:space="preserve">#REF!</t>
        </is>
      </c>
      <c r="H134" t="inlineStr">
        <is>
          <t xml:space="preserve">#REF!</t>
        </is>
      </c>
      <c r="I134" s="3" t="inlineStr">
        <is>
          <t xml:space="preserve">PASS</t>
        </is>
      </c>
    </row>
    <row r="135">
      <c r="A135" t="inlineStr">
        <is>
          <t xml:space="preserve">TC-D-006</t>
        </is>
      </c>
      <c r="B135" t="inlineStr">
        <is>
          <t xml:space="preserve">行列操作</t>
        </is>
      </c>
      <c r="C135" t="inlineStr">
        <is>
          <t xml:space="preserve">範囲の途中行を削除すると範囲が縮む</t>
        </is>
      </c>
      <c r="D135" t="inlineStr">
        <is>
          <t xml:space="preserve">正常系</t>
        </is>
      </c>
      <c r="E135" t="inlineStr">
        <is>
          <t xml:space="preserve">A1:A3=1,2,3 / B1==SUM(A1:A3)</t>
        </is>
      </c>
      <c r="F135" t="inlineStr">
        <is>
          <t xml:space="preserve">2行目を削除</t>
        </is>
      </c>
      <c r="G135">
        <v>4</v>
      </c>
      <c r="H135">
        <v>4</v>
      </c>
      <c r="I135" s="3" t="inlineStr">
        <is>
          <t xml:space="preserve">PASS</t>
        </is>
      </c>
    </row>
    <row r="136">
      <c r="A136" t="inlineStr">
        <is>
          <t xml:space="preserve">TC-D-007</t>
        </is>
      </c>
      <c r="B136" t="inlineStr">
        <is>
          <t xml:space="preserve">行列操作</t>
        </is>
      </c>
      <c r="C136" t="inlineStr">
        <is>
          <t xml:space="preserve">行挿入で結合セルが追随する</t>
        </is>
      </c>
      <c r="D136" t="inlineStr">
        <is>
          <t xml:space="preserve">エラー推測</t>
        </is>
      </c>
      <c r="E136" t="inlineStr">
        <is>
          <t xml:space="preserve">A1:B1を結合</t>
        </is>
      </c>
      <c r="F136" t="inlineStr">
        <is>
          <t xml:space="preserve">1行目に行を挿入</t>
        </is>
      </c>
      <c r="G136" t="inlineStr">
        <is>
          <t xml:space="preserve">r1=1</t>
        </is>
      </c>
      <c r="H136" t="inlineStr">
        <is>
          <t xml:space="preserve">r1=1</t>
        </is>
      </c>
      <c r="I136" s="3" t="inlineStr">
        <is>
          <t xml:space="preserve">PASS</t>
        </is>
      </c>
    </row>
    <row r="137">
      <c r="A137" t="inlineStr">
        <is>
          <t xml:space="preserve">TC-D-008</t>
        </is>
      </c>
      <c r="B137" t="inlineStr">
        <is>
          <t xml:space="preserve">行列操作</t>
        </is>
      </c>
      <c r="C137" t="inlineStr">
        <is>
          <t xml:space="preserve">絶対参照 $A$1 も行挿入で追随する</t>
        </is>
      </c>
      <c r="D137" t="inlineStr">
        <is>
          <t xml:space="preserve">境界値</t>
        </is>
      </c>
      <c r="E137" t="inlineStr">
        <is>
          <t xml:space="preserve">A1=1,B1==$A$1</t>
        </is>
      </c>
      <c r="F137" t="inlineStr">
        <is>
          <t xml:space="preserve">1行目に行を挿入</t>
        </is>
      </c>
      <c r="G137" t="str">
        <f>$A$2</f>
        <v>TC-A-001</v>
      </c>
      <c r="H137" t="str">
        <f>$A$2</f>
        <v>TC-A-001</v>
      </c>
      <c r="I137" s="3" t="inlineStr">
        <is>
          <t xml:space="preserve">PASS</t>
        </is>
      </c>
    </row>
    <row r="138">
      <c r="A138" t="inlineStr">
        <is>
          <t xml:space="preserve">TC-D-009</t>
        </is>
      </c>
      <c r="B138" t="inlineStr">
        <is>
          <t xml:space="preserve">行列操作</t>
        </is>
      </c>
      <c r="C138" t="inlineStr">
        <is>
          <t xml:space="preserve">Undo(スナップショット復元)で元に戻る</t>
        </is>
      </c>
      <c r="D138" t="inlineStr">
        <is>
          <t xml:space="preserve">状態遷移</t>
        </is>
      </c>
      <c r="E138" t="inlineStr">
        <is>
          <t xml:space="preserve">A1=1</t>
        </is>
      </c>
      <c r="F138" t="inlineStr">
        <is>
          <t xml:space="preserve">A1を99に変更→restoreで復元</t>
        </is>
      </c>
      <c r="G138">
        <v>1</v>
      </c>
      <c r="H138">
        <v>1</v>
      </c>
      <c r="I138" s="3" t="inlineStr">
        <is>
          <t xml:space="preserve">PASS</t>
        </is>
      </c>
    </row>
    <row r="139">
      <c r="A139" t="inlineStr">
        <is>
          <t xml:space="preserve">TC-D-010</t>
        </is>
      </c>
      <c r="B139" t="inlineStr">
        <is>
          <t xml:space="preserve">行列操作</t>
        </is>
      </c>
      <c r="C139" t="inlineStr">
        <is>
          <t xml:space="preserve">Undo履歴の上限(60件)を超えても壊れない</t>
        </is>
      </c>
      <c r="D139" t="inlineStr">
        <is>
          <t xml:space="preserve">境界値</t>
        </is>
      </c>
      <c r="E139" t="inlineStr">
        <is>
          <t xml:space="preserve">-</t>
        </is>
      </c>
      <c r="F139" t="inlineStr">
        <is>
          <t xml:space="preserve">70件push後にundoStack長を確認</t>
        </is>
      </c>
      <c r="G139">
        <v>60</v>
      </c>
      <c r="H139">
        <v>60</v>
      </c>
      <c r="I139" s="3" t="inlineStr">
        <is>
          <t xml:space="preserve">PASS</t>
        </is>
      </c>
    </row>
    <row r="140">
      <c r="A140" t="inlineStr">
        <is>
          <t xml:space="preserve">TC-D-011</t>
        </is>
      </c>
      <c r="B140" t="inlineStr">
        <is>
          <t xml:space="preserve">行列操作</t>
        </is>
      </c>
      <c r="C140" t="inlineStr">
        <is>
          <t xml:space="preserve">同名シートを含むファイルの読み込み時に名前が一意化される</t>
        </is>
      </c>
      <c r="D140" t="inlineStr">
        <is>
          <t xml:space="preserve">エラー推測</t>
        </is>
      </c>
      <c r="E140" t="inlineStr">
        <is>
          <t xml:space="preserve">同名シート2枚を含むJSON</t>
        </is>
      </c>
      <c r="F140" t="inlineStr">
        <is>
          <t xml:space="preserve">fromJSONで読み込み、参照先を確認</t>
        </is>
      </c>
      <c r="G140" t="inlineStr">
        <is>
          <t xml:space="preserve">一意化される</t>
        </is>
      </c>
      <c r="H140" t="inlineStr">
        <is>
          <t xml:space="preserve">重複したまま(参照は1を指す)</t>
        </is>
      </c>
      <c r="I140" s="4" t="inlineStr">
        <is>
          <t xml:space="preserve">FAIL</t>
        </is>
      </c>
    </row>
    <row r="141">
      <c r="A141" t="inlineStr">
        <is>
          <t xml:space="preserve">TC-D-012</t>
        </is>
      </c>
      <c r="B141" t="inlineStr">
        <is>
          <t xml:space="preserve">行列操作</t>
        </is>
      </c>
      <c r="C141" t="inlineStr">
        <is>
          <t xml:space="preserve">シート削除後も他シートの参照が保たれる</t>
        </is>
      </c>
      <c r="D141" t="inlineStr">
        <is>
          <t xml:space="preserve">状態遷移</t>
        </is>
      </c>
      <c r="E141" t="inlineStr">
        <is>
          <t xml:space="preserve">Sheet2!A1=5 / Sheet3!A1==Sheet2!A1</t>
        </is>
      </c>
      <c r="F141" t="inlineStr">
        <is>
          <t xml:space="preserve">Sheet3の値を確認</t>
        </is>
      </c>
      <c r="G141">
        <v>5</v>
      </c>
      <c r="H141">
        <v>5</v>
      </c>
      <c r="I141" s="3" t="inlineStr">
        <is>
          <t xml:space="preserve">PASS</t>
        </is>
      </c>
    </row>
    <row r="142">
      <c r="A142" t="inlineStr">
        <is>
          <t xml:space="preserve">TC-E-001</t>
        </is>
      </c>
      <c r="B142" t="inlineStr">
        <is>
          <t xml:space="preserve">入力解析</t>
        </is>
      </c>
      <c r="C142" t="inlineStr">
        <is>
          <t xml:space="preserve">整数入力は数値になる</t>
        </is>
      </c>
      <c r="D142" t="inlineStr">
        <is>
          <t xml:space="preserve">同値分割</t>
        </is>
      </c>
      <c r="E142" t="inlineStr">
        <is>
          <t xml:space="preserve">-</t>
        </is>
      </c>
      <c r="F142" t="inlineStr">
        <is>
          <t xml:space="preserve">A1に 123 を入力</t>
        </is>
      </c>
      <c r="G142">
        <v>123</v>
      </c>
      <c r="H142">
        <v>123</v>
      </c>
      <c r="I142" s="3" t="inlineStr">
        <is>
          <t xml:space="preserve">PASS</t>
        </is>
      </c>
    </row>
    <row r="143">
      <c r="A143" t="inlineStr">
        <is>
          <t xml:space="preserve">TC-E-002</t>
        </is>
      </c>
      <c r="B143" t="inlineStr">
        <is>
          <t xml:space="preserve">入力解析</t>
        </is>
      </c>
      <c r="C143" t="inlineStr">
        <is>
          <t xml:space="preserve">小数入力</t>
        </is>
      </c>
      <c r="D143" t="inlineStr">
        <is>
          <t xml:space="preserve">同値分割</t>
        </is>
      </c>
      <c r="E143" t="inlineStr">
        <is>
          <t xml:space="preserve">-</t>
        </is>
      </c>
      <c r="F143" t="inlineStr">
        <is>
          <t xml:space="preserve">A1に 1.25 を入力</t>
        </is>
      </c>
      <c r="G143">
        <v>1.25</v>
      </c>
      <c r="H143">
        <v>1.25</v>
      </c>
      <c r="I143" s="3" t="inlineStr">
        <is>
          <t xml:space="preserve">PASS</t>
        </is>
      </c>
    </row>
    <row r="144">
      <c r="A144" t="inlineStr">
        <is>
          <t xml:space="preserve">TC-E-003</t>
        </is>
      </c>
      <c r="B144" t="inlineStr">
        <is>
          <t xml:space="preserve">入力解析</t>
        </is>
      </c>
      <c r="C144" t="inlineStr">
        <is>
          <t xml:space="preserve">マイナス値</t>
        </is>
      </c>
      <c r="D144" t="inlineStr">
        <is>
          <t xml:space="preserve">同値分割</t>
        </is>
      </c>
      <c r="E144" t="inlineStr">
        <is>
          <t xml:space="preserve">-</t>
        </is>
      </c>
      <c r="F144" t="inlineStr">
        <is>
          <t xml:space="preserve">A1に -5 を入力</t>
        </is>
      </c>
      <c r="G144">
        <v>-5</v>
      </c>
      <c r="H144">
        <v>-5</v>
      </c>
      <c r="I144" s="3" t="inlineStr">
        <is>
          <t xml:space="preserve">PASS</t>
        </is>
      </c>
    </row>
    <row r="145">
      <c r="A145" t="inlineStr">
        <is>
          <t xml:space="preserve">TC-E-004</t>
        </is>
      </c>
      <c r="B145" t="inlineStr">
        <is>
          <t xml:space="preserve">入力解析</t>
        </is>
      </c>
      <c r="C145" t="inlineStr">
        <is>
          <t xml:space="preserve">パーセント入力は書式つき数値になる</t>
        </is>
      </c>
      <c r="D145" t="inlineStr">
        <is>
          <t xml:space="preserve">正常系</t>
        </is>
      </c>
      <c r="E145" t="inlineStr">
        <is>
          <t xml:space="preserve">-</t>
        </is>
      </c>
      <c r="F145" t="inlineStr">
        <is>
          <t xml:space="preserve">A1に 25% を入力</t>
        </is>
      </c>
      <c r="G145" s="2">
        <v>0.25</v>
      </c>
      <c r="H145" s="2">
        <v>0.25</v>
      </c>
      <c r="I145" s="3" t="inlineStr">
        <is>
          <t xml:space="preserve">PASS</t>
        </is>
      </c>
    </row>
    <row r="146">
      <c r="A146" t="inlineStr">
        <is>
          <t xml:space="preserve">TC-E-005</t>
        </is>
      </c>
      <c r="B146" t="inlineStr">
        <is>
          <t xml:space="preserve">入力解析</t>
        </is>
      </c>
      <c r="C146" t="inlineStr">
        <is>
          <t xml:space="preserve">通貨入力(¥)</t>
        </is>
      </c>
      <c r="D146" t="inlineStr">
        <is>
          <t xml:space="preserve">正常系</t>
        </is>
      </c>
      <c r="E146" t="inlineStr">
        <is>
          <t xml:space="preserve">-</t>
        </is>
      </c>
      <c r="F146" t="inlineStr">
        <is>
          <t xml:space="preserve">A1に ¥1,000 を入力</t>
        </is>
      </c>
      <c r="G146" s="8">
        <v>1000</v>
      </c>
      <c r="H146" s="8">
        <v>1000</v>
      </c>
      <c r="I146" s="3" t="inlineStr">
        <is>
          <t xml:space="preserve">PASS</t>
        </is>
      </c>
    </row>
    <row r="147">
      <c r="A147" t="inlineStr">
        <is>
          <t xml:space="preserve">TC-E-006</t>
        </is>
      </c>
      <c r="B147" t="inlineStr">
        <is>
          <t xml:space="preserve">入力解析</t>
        </is>
      </c>
      <c r="C147" t="inlineStr">
        <is>
          <t xml:space="preserve">桁区切り数値の入力</t>
        </is>
      </c>
      <c r="D147" t="inlineStr">
        <is>
          <t xml:space="preserve">正常系</t>
        </is>
      </c>
      <c r="E147" t="inlineStr">
        <is>
          <t xml:space="preserve">-</t>
        </is>
      </c>
      <c r="F147" t="inlineStr">
        <is>
          <t xml:space="preserve">A1に 1,234 を入力</t>
        </is>
      </c>
      <c r="G147" s="7">
        <v>1234</v>
      </c>
      <c r="H147" s="7">
        <v>1234</v>
      </c>
      <c r="I147" s="3" t="inlineStr">
        <is>
          <t xml:space="preserve">PASS</t>
        </is>
      </c>
    </row>
    <row r="148">
      <c r="A148" t="inlineStr">
        <is>
          <t xml:space="preserve">TC-E-007</t>
        </is>
      </c>
      <c r="B148" t="inlineStr">
        <is>
          <t xml:space="preserve">入力解析</t>
        </is>
      </c>
      <c r="C148" t="inlineStr">
        <is>
          <t xml:space="preserve">日付入力(yyyy/m/d)</t>
        </is>
      </c>
      <c r="D148" t="inlineStr">
        <is>
          <t xml:space="preserve">正常系</t>
        </is>
      </c>
      <c r="E148" t="inlineStr">
        <is>
          <t xml:space="preserve">-</t>
        </is>
      </c>
      <c r="F148" t="inlineStr">
        <is>
          <t xml:space="preserve">A1に 2026/8/23 を入力</t>
        </is>
      </c>
      <c r="G148" s="5">
        <v>46257</v>
      </c>
      <c r="H148" s="5">
        <v>46257</v>
      </c>
      <c r="I148" s="3" t="inlineStr">
        <is>
          <t xml:space="preserve">PASS</t>
        </is>
      </c>
    </row>
    <row r="149">
      <c r="A149" t="inlineStr">
        <is>
          <t xml:space="preserve">TC-E-008</t>
        </is>
      </c>
      <c r="B149" t="inlineStr">
        <is>
          <t xml:space="preserve">入力解析</t>
        </is>
      </c>
      <c r="C149" t="inlineStr">
        <is>
          <t xml:space="preserve">時刻入力(h:mm)</t>
        </is>
      </c>
      <c r="D149" t="inlineStr">
        <is>
          <t xml:space="preserve">正常系</t>
        </is>
      </c>
      <c r="E149" t="inlineStr">
        <is>
          <t xml:space="preserve">-</t>
        </is>
      </c>
      <c r="F149" t="inlineStr">
        <is>
          <t xml:space="preserve">A1に 13:30 を入力</t>
        </is>
      </c>
      <c r="G149" s="6">
        <v>0.5625</v>
      </c>
      <c r="H149" s="6">
        <v>0.5625</v>
      </c>
      <c r="I149" s="3" t="inlineStr">
        <is>
          <t xml:space="preserve">PASS</t>
        </is>
      </c>
    </row>
    <row r="150">
      <c r="A150" t="inlineStr">
        <is>
          <t xml:space="preserve">TC-E-009</t>
        </is>
      </c>
      <c r="B150" t="inlineStr">
        <is>
          <t xml:space="preserve">入力解析</t>
        </is>
      </c>
      <c r="C150" t="inlineStr">
        <is>
          <t xml:space="preserve">前ゼロつき数値はExcel同様に数値7になる</t>
        </is>
      </c>
      <c r="D150" t="inlineStr">
        <is>
          <t xml:space="preserve">エラー推測</t>
        </is>
      </c>
      <c r="E150" t="inlineStr">
        <is>
          <t xml:space="preserve">-</t>
        </is>
      </c>
      <c r="F150" t="inlineStr">
        <is>
          <t xml:space="preserve">A1に 007 を入力</t>
        </is>
      </c>
      <c r="G150">
        <v>7</v>
      </c>
      <c r="H150">
        <v>7</v>
      </c>
      <c r="I150" s="3" t="inlineStr">
        <is>
          <t xml:space="preserve">PASS</t>
        </is>
      </c>
    </row>
    <row r="151">
      <c r="A151" t="inlineStr">
        <is>
          <t xml:space="preserve">TC-E-009b</t>
        </is>
      </c>
      <c r="B151" t="inlineStr">
        <is>
          <t xml:space="preserve">入力解析</t>
        </is>
      </c>
      <c r="C151" t="inlineStr">
        <is>
          <t xml:space="preserve">文字列書式(@)のセルなら前ゼロが保持される</t>
        </is>
      </c>
      <c r="D151" t="inlineStr">
        <is>
          <t xml:space="preserve">エラー推測</t>
        </is>
      </c>
      <c r="E151" t="inlineStr">
        <is>
          <t xml:space="preserve">A1の表示形式=文字列</t>
        </is>
      </c>
      <c r="F151" t="inlineStr">
        <is>
          <t xml:space="preserve">A1に 007 を入力</t>
        </is>
      </c>
      <c r="G151">
        <v>7</v>
      </c>
      <c r="H151">
        <v>7</v>
      </c>
      <c r="I151" s="3" t="inlineStr">
        <is>
          <t xml:space="preserve">PASS</t>
        </is>
      </c>
    </row>
    <row r="152">
      <c r="A152" t="inlineStr">
        <is>
          <t xml:space="preserve">TC-E-010</t>
        </is>
      </c>
      <c r="B152" t="inlineStr">
        <is>
          <t xml:space="preserve">入力解析</t>
        </is>
      </c>
      <c r="C152" t="inlineStr">
        <is>
          <t xml:space="preserve">電話番号形式は文字列として保持される</t>
        </is>
      </c>
      <c r="D152" t="inlineStr">
        <is>
          <t xml:space="preserve">エラー推測</t>
        </is>
      </c>
      <c r="E152" t="inlineStr">
        <is>
          <t xml:space="preserve">-</t>
        </is>
      </c>
      <c r="F152" t="inlineStr">
        <is>
          <t xml:space="preserve">A1に 090-1234-5678 を入力</t>
        </is>
      </c>
      <c r="G152" t="inlineStr">
        <is>
          <t xml:space="preserve">090-1234-5678</t>
        </is>
      </c>
      <c r="H152" t="inlineStr">
        <is>
          <t xml:space="preserve">090-1234-5678</t>
        </is>
      </c>
      <c r="I152" s="3" t="inlineStr">
        <is>
          <t xml:space="preserve">PASS</t>
        </is>
      </c>
    </row>
    <row r="153">
      <c r="A153" t="inlineStr">
        <is>
          <t xml:space="preserve">TC-E-011</t>
        </is>
      </c>
      <c r="B153" t="inlineStr">
        <is>
          <t xml:space="preserve">入力解析</t>
        </is>
      </c>
      <c r="C153" t="inlineStr">
        <is>
          <t xml:space="preserve">TRUE入力は論理値になる</t>
        </is>
      </c>
      <c r="D153" t="inlineStr">
        <is>
          <t xml:space="preserve">同値分割</t>
        </is>
      </c>
      <c r="E153" t="inlineStr">
        <is>
          <t xml:space="preserve">-</t>
        </is>
      </c>
      <c r="F153" t="inlineStr">
        <is>
          <t xml:space="preserve">A1に TRUE を入力</t>
        </is>
      </c>
      <c r="G153" t="b">
        <v>1</v>
      </c>
      <c r="H153" t="b">
        <v>1</v>
      </c>
      <c r="I153" s="3" t="inlineStr">
        <is>
          <t xml:space="preserve">PASS</t>
        </is>
      </c>
    </row>
    <row r="154">
      <c r="A154" t="inlineStr">
        <is>
          <t xml:space="preserve">TC-E-012</t>
        </is>
      </c>
      <c r="B154" t="inlineStr">
        <is>
          <t xml:space="preserve">入力解析</t>
        </is>
      </c>
      <c r="C154" t="inlineStr">
        <is>
          <t xml:space="preserve">空文字入力でセルが空になる</t>
        </is>
      </c>
      <c r="D154" t="inlineStr">
        <is>
          <t xml:space="preserve">境界値</t>
        </is>
      </c>
      <c r="E154" t="inlineStr">
        <is>
          <t xml:space="preserve">A1=5</t>
        </is>
      </c>
      <c r="F154" t="inlineStr">
        <is>
          <t xml:space="preserve">A1に空文字を入力</t>
        </is>
      </c>
      <c r="G154" t="inlineStr">
        <is>
          <t xml:space="preserve">空</t>
        </is>
      </c>
      <c r="H154" t="inlineStr">
        <is>
          <t xml:space="preserve">空</t>
        </is>
      </c>
      <c r="I154" s="3" t="inlineStr">
        <is>
          <t xml:space="preserve">PASS</t>
        </is>
      </c>
    </row>
    <row r="155">
      <c r="A155" t="inlineStr">
        <is>
          <t xml:space="preserve">TC-E-013</t>
        </is>
      </c>
      <c r="B155" t="inlineStr">
        <is>
          <t xml:space="preserve">入力解析</t>
        </is>
      </c>
      <c r="C155" t="inlineStr">
        <is>
          <t xml:space="preserve">数式バー表示が入力どおり戻る</t>
        </is>
      </c>
      <c r="D155" t="inlineStr">
        <is>
          <t xml:space="preserve">状態遷移</t>
        </is>
      </c>
      <c r="E155" t="inlineStr">
        <is>
          <t xml:space="preserve">-</t>
        </is>
      </c>
      <c r="F155" t="inlineStr">
        <is>
          <t xml:space="preserve">A1に =1+2 を入力し編集文字列を確認</t>
        </is>
      </c>
      <c r="G155">
        <f>1+2</f>
        <v>3</v>
      </c>
      <c r="H155">
        <f>1+2</f>
        <v>3</v>
      </c>
      <c r="I155" s="3" t="inlineStr">
        <is>
          <t xml:space="preserve">PASS</t>
        </is>
      </c>
    </row>
    <row r="156">
      <c r="A156" t="inlineStr">
        <is>
          <t xml:space="preserve">TC-E-014</t>
        </is>
      </c>
      <c r="B156" t="inlineStr">
        <is>
          <t xml:space="preserve">入力解析</t>
        </is>
      </c>
      <c r="C156" t="inlineStr">
        <is>
          <t xml:space="preserve">日付セルの数式バー表示が日付形式に戻る</t>
        </is>
      </c>
      <c r="D156" t="inlineStr">
        <is>
          <t xml:space="preserve">状態遷移</t>
        </is>
      </c>
      <c r="E156" t="inlineStr">
        <is>
          <t xml:space="preserve">-</t>
        </is>
      </c>
      <c r="F156" t="inlineStr">
        <is>
          <t xml:space="preserve">A1に 2026/8/23 を入力し編集文字列を確認</t>
        </is>
      </c>
      <c r="G156" s="5">
        <v>46257</v>
      </c>
      <c r="H156" s="5">
        <v>46257</v>
      </c>
      <c r="I156" s="3" t="inlineStr">
        <is>
          <t xml:space="preserve">PASS</t>
        </is>
      </c>
    </row>
    <row r="157">
      <c r="A157" t="inlineStr">
        <is>
          <t xml:space="preserve">TC-E-015</t>
        </is>
      </c>
      <c r="B157" t="inlineStr">
        <is>
          <t xml:space="preserve">表示形式</t>
        </is>
      </c>
      <c r="C157" t="inlineStr">
        <is>
          <t xml:space="preserve">桁区切り書式</t>
        </is>
      </c>
      <c r="D157" t="inlineStr">
        <is>
          <t xml:space="preserve">正常系</t>
        </is>
      </c>
      <c r="E157" t="inlineStr">
        <is>
          <t xml:space="preserve">-</t>
        </is>
      </c>
      <c r="F157" t="inlineStr">
        <is>
          <t xml:space="preserve">1234567 に #,##0 を適用</t>
        </is>
      </c>
      <c r="G157" s="7">
        <v>1234567</v>
      </c>
      <c r="H157" s="7">
        <v>1234567</v>
      </c>
      <c r="I157" s="3" t="inlineStr">
        <is>
          <t xml:space="preserve">PASS</t>
        </is>
      </c>
    </row>
    <row r="158">
      <c r="A158" t="inlineStr">
        <is>
          <t xml:space="preserve">TC-E-016</t>
        </is>
      </c>
      <c r="B158" t="inlineStr">
        <is>
          <t xml:space="preserve">表示形式</t>
        </is>
      </c>
      <c r="C158" t="inlineStr">
        <is>
          <t xml:space="preserve">小数2桁固定</t>
        </is>
      </c>
      <c r="D158" t="inlineStr">
        <is>
          <t xml:space="preserve">正常系</t>
        </is>
      </c>
      <c r="E158" t="inlineStr">
        <is>
          <t xml:space="preserve">-</t>
        </is>
      </c>
      <c r="F158" t="inlineStr">
        <is>
          <t xml:space="preserve">1.5 に 0.00 を適用</t>
        </is>
      </c>
      <c r="G158">
        <v>1.5</v>
      </c>
      <c r="H158">
        <v>1.5</v>
      </c>
      <c r="I158" s="3" t="inlineStr">
        <is>
          <t xml:space="preserve">PASS</t>
        </is>
      </c>
    </row>
    <row r="159">
      <c r="A159" t="inlineStr">
        <is>
          <t xml:space="preserve">TC-E-017</t>
        </is>
      </c>
      <c r="B159" t="inlineStr">
        <is>
          <t xml:space="preserve">表示形式</t>
        </is>
      </c>
      <c r="C159" t="inlineStr">
        <is>
          <t xml:space="preserve">パーセント書式</t>
        </is>
      </c>
      <c r="D159" t="inlineStr">
        <is>
          <t xml:space="preserve">正常系</t>
        </is>
      </c>
      <c r="E159" t="inlineStr">
        <is>
          <t xml:space="preserve">-</t>
        </is>
      </c>
      <c r="F159" t="inlineStr">
        <is>
          <t xml:space="preserve">0.1234 に 0.0% を適用</t>
        </is>
      </c>
      <c r="G159" s="2">
        <v>0.12300000000000001</v>
      </c>
      <c r="H159" s="2">
        <v>0.12300000000000001</v>
      </c>
      <c r="I159" s="3" t="inlineStr">
        <is>
          <t xml:space="preserve">PASS</t>
        </is>
      </c>
    </row>
    <row r="160">
      <c r="A160" t="inlineStr">
        <is>
          <t xml:space="preserve">TC-E-018</t>
        </is>
      </c>
      <c r="B160" t="inlineStr">
        <is>
          <t xml:space="preserve">表示形式</t>
        </is>
      </c>
      <c r="C160" t="inlineStr">
        <is>
          <t xml:space="preserve">通貨書式</t>
        </is>
      </c>
      <c r="D160" t="inlineStr">
        <is>
          <t xml:space="preserve">正常系</t>
        </is>
      </c>
      <c r="E160" t="inlineStr">
        <is>
          <t xml:space="preserve">-</t>
        </is>
      </c>
      <c r="F160" t="inlineStr">
        <is>
          <t xml:space="preserve">1234 に ¥#,##0 を適用</t>
        </is>
      </c>
      <c r="G160" s="8">
        <v>1234</v>
      </c>
      <c r="H160" s="8">
        <v>1234</v>
      </c>
      <c r="I160" s="3" t="inlineStr">
        <is>
          <t xml:space="preserve">PASS</t>
        </is>
      </c>
    </row>
    <row r="161">
      <c r="A161" t="inlineStr">
        <is>
          <t xml:space="preserve">TC-E-019</t>
        </is>
      </c>
      <c r="B161" t="inlineStr">
        <is>
          <t xml:space="preserve">表示形式</t>
        </is>
      </c>
      <c r="C161" t="inlineStr">
        <is>
          <t xml:space="preserve">負数の丸め表示(-0にならない)</t>
        </is>
      </c>
      <c r="D161" t="inlineStr">
        <is>
          <t xml:space="preserve">境界値</t>
        </is>
      </c>
      <c r="E161" t="inlineStr">
        <is>
          <t xml:space="preserve">-</t>
        </is>
      </c>
      <c r="F161" t="inlineStr">
        <is>
          <t xml:space="preserve">-0.4 に 0 を適用</t>
        </is>
      </c>
      <c r="G161">
        <v>0</v>
      </c>
      <c r="H161">
        <v>0</v>
      </c>
      <c r="I161" s="3" t="inlineStr">
        <is>
          <t xml:space="preserve">PASS</t>
        </is>
      </c>
    </row>
    <row r="162">
      <c r="A162" t="inlineStr">
        <is>
          <t xml:space="preserve">TC-E-020</t>
        </is>
      </c>
      <c r="B162" t="inlineStr">
        <is>
          <t xml:space="preserve">表示形式</t>
        </is>
      </c>
      <c r="C162" t="inlineStr">
        <is>
          <t xml:space="preserve">0 の桁区切り表示</t>
        </is>
      </c>
      <c r="D162" t="inlineStr">
        <is>
          <t xml:space="preserve">境界値</t>
        </is>
      </c>
      <c r="E162" t="inlineStr">
        <is>
          <t xml:space="preserve">-</t>
        </is>
      </c>
      <c r="F162" t="inlineStr">
        <is>
          <t xml:space="preserve">0 に #,##0 を適用</t>
        </is>
      </c>
      <c r="G162">
        <v>0</v>
      </c>
      <c r="H162">
        <v>0</v>
      </c>
      <c r="I162" s="3" t="inlineStr">
        <is>
          <t xml:space="preserve">PASS</t>
        </is>
      </c>
    </row>
    <row r="163">
      <c r="A163" t="inlineStr">
        <is>
          <t xml:space="preserve">TC-E-021</t>
        </is>
      </c>
      <c r="B163" t="inlineStr">
        <is>
          <t xml:space="preserve">表示形式</t>
        </is>
      </c>
      <c r="C163" t="inlineStr">
        <is>
          <t xml:space="preserve">日付書式(yyyy/mm/dd)</t>
        </is>
      </c>
      <c r="D163" t="inlineStr">
        <is>
          <t xml:space="preserve">正常系</t>
        </is>
      </c>
      <c r="E163" t="inlineStr">
        <is>
          <t xml:space="preserve">-</t>
        </is>
      </c>
      <c r="F163" t="inlineStr">
        <is>
          <t xml:space="preserve">シリアル値に yyyy/mm/dd を適用</t>
        </is>
      </c>
      <c r="G163" s="5">
        <v>46257</v>
      </c>
      <c r="H163" s="5">
        <v>46257</v>
      </c>
      <c r="I163" s="3" t="inlineStr">
        <is>
          <t xml:space="preserve">PASS</t>
        </is>
      </c>
    </row>
    <row r="164">
      <c r="A164" t="inlineStr">
        <is>
          <t xml:space="preserve">TC-E-022</t>
        </is>
      </c>
      <c r="B164" t="inlineStr">
        <is>
          <t xml:space="preserve">表示形式</t>
        </is>
      </c>
      <c r="C164" t="inlineStr">
        <is>
          <t xml:space="preserve">文字列書式(@)は数値も文字扱い</t>
        </is>
      </c>
      <c r="D164" t="inlineStr">
        <is>
          <t xml:space="preserve">同値分割</t>
        </is>
      </c>
      <c r="E164" t="inlineStr">
        <is>
          <t xml:space="preserve">-</t>
        </is>
      </c>
      <c r="F164" t="inlineStr">
        <is>
          <t xml:space="preserve">123 に @ を適用</t>
        </is>
      </c>
      <c r="G164">
        <v>123</v>
      </c>
      <c r="H164">
        <v>123</v>
      </c>
      <c r="I164" s="3" t="inlineStr">
        <is>
          <t xml:space="preserve">PASS</t>
        </is>
      </c>
    </row>
    <row r="165">
      <c r="A165" t="inlineStr">
        <is>
          <t xml:space="preserve">TC-E-023</t>
        </is>
      </c>
      <c r="B165" t="inlineStr">
        <is>
          <t xml:space="preserve">表示形式</t>
        </is>
      </c>
      <c r="C165" t="inlineStr">
        <is>
          <t xml:space="preserve">指数表記書式</t>
        </is>
      </c>
      <c r="D165" t="inlineStr">
        <is>
          <t xml:space="preserve">正常系</t>
        </is>
      </c>
      <c r="E165" t="inlineStr">
        <is>
          <t xml:space="preserve">-</t>
        </is>
      </c>
      <c r="F165" t="inlineStr">
        <is>
          <t xml:space="preserve">12345 に 0.00E+00 を適用</t>
        </is>
      </c>
      <c r="G165">
        <v>12300</v>
      </c>
      <c r="H165">
        <v>12300</v>
      </c>
      <c r="I165" s="3" t="inlineStr">
        <is>
          <t xml:space="preserve">PASS</t>
        </is>
      </c>
    </row>
    <row r="166">
      <c r="A166" t="inlineStr">
        <is>
          <t xml:space="preserve">TC-E-024</t>
        </is>
      </c>
      <c r="B166" t="inlineStr">
        <is>
          <t xml:space="preserve">表示形式</t>
        </is>
      </c>
      <c r="C166" t="inlineStr">
        <is>
          <t xml:space="preserve">General は長い小数を丸めて表示</t>
        </is>
      </c>
      <c r="D166" t="inlineStr">
        <is>
          <t xml:space="preserve">境界値</t>
        </is>
      </c>
      <c r="E166" t="inlineStr">
        <is>
          <t xml:space="preserve">-</t>
        </is>
      </c>
      <c r="F166" t="inlineStr">
        <is>
          <t xml:space="preserve">1/3 を General 表示</t>
        </is>
      </c>
      <c r="G166">
        <v>0.333333333</v>
      </c>
      <c r="H166">
        <v>0.3333333333</v>
      </c>
      <c r="I166" s="3" t="inlineStr">
        <is>
          <t xml:space="preserve">PASS</t>
        </is>
      </c>
    </row>
    <row r="167">
      <c r="A167" t="inlineStr">
        <is>
          <t xml:space="preserve">TC-E-025</t>
        </is>
      </c>
      <c r="B167" t="inlineStr">
        <is>
          <t xml:space="preserve">表示形式</t>
        </is>
      </c>
      <c r="C167" t="inlineStr">
        <is>
          <t xml:space="preserve">A1参照の列名変換(境界)</t>
        </is>
      </c>
      <c r="D167" t="inlineStr">
        <is>
          <t xml:space="preserve">境界値</t>
        </is>
      </c>
      <c r="E167" t="inlineStr">
        <is>
          <t xml:space="preserve">-</t>
        </is>
      </c>
      <c r="F167" t="inlineStr">
        <is>
          <t xml:space="preserve">0,25,26,701列目の列名</t>
        </is>
      </c>
      <c r="G167" t="inlineStr">
        <is>
          <t xml:space="preserve">A,Z,AA,ZZ</t>
        </is>
      </c>
      <c r="H167" t="inlineStr">
        <is>
          <t xml:space="preserve">A,Z,AA,ZZ</t>
        </is>
      </c>
      <c r="I167" s="3" t="inlineStr">
        <is>
          <t xml:space="preserve">PASS</t>
        </is>
      </c>
    </row>
    <row r="168">
      <c r="A168" t="inlineStr">
        <is>
          <t xml:space="preserve">TC-E-026</t>
        </is>
      </c>
      <c r="B168" t="inlineStr">
        <is>
          <t xml:space="preserve">表示形式</t>
        </is>
      </c>
      <c r="C168" t="inlineStr">
        <is>
          <t xml:space="preserve">列名から列番号への逆変換</t>
        </is>
      </c>
      <c r="D168" t="inlineStr">
        <is>
          <t xml:space="preserve">境界値</t>
        </is>
      </c>
      <c r="E168" t="inlineStr">
        <is>
          <t xml:space="preserve">-</t>
        </is>
      </c>
      <c r="F168" t="inlineStr">
        <is>
          <t xml:space="preserve">A,Z,AA,ZZ の列番号</t>
        </is>
      </c>
      <c r="G168" t="inlineStr">
        <is>
          <t xml:space="preserve">0,25,26,701</t>
        </is>
      </c>
      <c r="H168" t="inlineStr">
        <is>
          <t xml:space="preserve">0,25,26,701</t>
        </is>
      </c>
      <c r="I168" s="3" t="inlineStr">
        <is>
          <t xml:space="preserve">PASS</t>
        </is>
      </c>
    </row>
    <row r="169">
      <c r="A169" t="inlineStr">
        <is>
          <t xml:space="preserve">TC-F-001</t>
        </is>
      </c>
      <c r="B169" t="inlineStr">
        <is>
          <t xml:space="preserve">入出力</t>
        </is>
      </c>
      <c r="C169" t="inlineStr">
        <is>
          <t xml:space="preserve">CSV出力の基本形</t>
        </is>
      </c>
      <c r="D169" t="inlineStr">
        <is>
          <t xml:space="preserve">正常系</t>
        </is>
      </c>
      <c r="E169" t="inlineStr">
        <is>
          <t xml:space="preserve">A1:B2に値</t>
        </is>
      </c>
      <c r="F169" t="inlineStr">
        <is>
          <t xml:space="preserve">CSV文字列を生成</t>
        </is>
      </c>
      <c r="G169" t="inlineStr">
        <is>
          <t xml:space="preserve">a,1
b,2</t>
        </is>
      </c>
      <c r="H169" t="inlineStr">
        <is>
          <t xml:space="preserve">a,1
b,2</t>
        </is>
      </c>
      <c r="I169" s="3" t="inlineStr">
        <is>
          <t xml:space="preserve">PASS</t>
        </is>
      </c>
    </row>
    <row r="170">
      <c r="A170" t="inlineStr">
        <is>
          <t xml:space="preserve">TC-F-002</t>
        </is>
      </c>
      <c r="B170" t="inlineStr">
        <is>
          <t xml:space="preserve">入出力</t>
        </is>
      </c>
      <c r="C170" t="inlineStr">
        <is>
          <t xml:space="preserve">CSV出力でカンマを含む値が引用される</t>
        </is>
      </c>
      <c r="D170" t="inlineStr">
        <is>
          <t xml:space="preserve">境界値</t>
        </is>
      </c>
      <c r="E170" t="inlineStr">
        <is>
          <t xml:space="preserve">A1="a,b"</t>
        </is>
      </c>
      <c r="F170" t="inlineStr">
        <is>
          <t xml:space="preserve">CSV文字列を生成</t>
        </is>
      </c>
      <c r="G170" t="inlineStr">
        <is>
          <t xml:space="preserve">"a,b"</t>
        </is>
      </c>
      <c r="H170" t="inlineStr">
        <is>
          <t xml:space="preserve">"a,b"</t>
        </is>
      </c>
      <c r="I170" s="3" t="inlineStr">
        <is>
          <t xml:space="preserve">PASS</t>
        </is>
      </c>
    </row>
    <row r="171">
      <c r="A171" t="inlineStr">
        <is>
          <t xml:space="preserve">TC-F-003</t>
        </is>
      </c>
      <c r="B171" t="inlineStr">
        <is>
          <t xml:space="preserve">入出力</t>
        </is>
      </c>
      <c r="C171" t="inlineStr">
        <is>
          <t xml:space="preserve">CSV出力で二重引用符がエスケープされる</t>
        </is>
      </c>
      <c r="D171" t="inlineStr">
        <is>
          <t xml:space="preserve">境界値</t>
        </is>
      </c>
      <c r="E171" t="inlineStr">
        <is>
          <t xml:space="preserve">A1=a"b</t>
        </is>
      </c>
      <c r="F171" t="inlineStr">
        <is>
          <t xml:space="preserve">CSV文字列を生成</t>
        </is>
      </c>
      <c r="G171" t="inlineStr">
        <is>
          <t xml:space="preserve">"a""b"</t>
        </is>
      </c>
      <c r="H171" t="inlineStr">
        <is>
          <t xml:space="preserve">"a""b"</t>
        </is>
      </c>
      <c r="I171" s="3" t="inlineStr">
        <is>
          <t xml:space="preserve">PASS</t>
        </is>
      </c>
    </row>
    <row r="172">
      <c r="A172" t="inlineStr">
        <is>
          <t xml:space="preserve">TC-F-004</t>
        </is>
      </c>
      <c r="B172" t="inlineStr">
        <is>
          <t xml:space="preserve">入出力</t>
        </is>
      </c>
      <c r="C172" t="inlineStr">
        <is>
          <t xml:space="preserve">CSV出力は数式の計算結果を書き出す</t>
        </is>
      </c>
      <c r="D172" t="inlineStr">
        <is>
          <t xml:space="preserve">正常系</t>
        </is>
      </c>
      <c r="E172" t="inlineStr">
        <is>
          <t xml:space="preserve">A1=1,A2=2,A3==SUM(A1:A2)</t>
        </is>
      </c>
      <c r="F172" t="inlineStr">
        <is>
          <t xml:space="preserve">CSV文字列を生成</t>
        </is>
      </c>
      <c r="G172" t="inlineStr">
        <is>
          <t xml:space="preserve">最終行が3</t>
        </is>
      </c>
      <c r="H172" t="inlineStr">
        <is>
          <t xml:space="preserve">最終行が3</t>
        </is>
      </c>
      <c r="I172" s="3" t="inlineStr">
        <is>
          <t xml:space="preserve">PASS</t>
        </is>
      </c>
    </row>
    <row r="173">
      <c r="A173" t="inlineStr">
        <is>
          <t xml:space="preserve">TC-F-005</t>
        </is>
      </c>
      <c r="B173" t="inlineStr">
        <is>
          <t xml:space="preserve">入出力</t>
        </is>
      </c>
      <c r="C173" t="inlineStr">
        <is>
          <t xml:space="preserve">CSV読み込み(引用符・改行入り)</t>
        </is>
      </c>
      <c r="D173" t="inlineStr">
        <is>
          <t xml:space="preserve">境界値</t>
        </is>
      </c>
      <c r="E173" t="inlineStr">
        <is>
          <t xml:space="preserve">-</t>
        </is>
      </c>
      <c r="F173" t="inlineStr">
        <is>
          <t xml:space="preserve">"a,b",2 をパース</t>
        </is>
      </c>
      <c r="G173" t="inlineStr">
        <is>
          <t xml:space="preserve">a,b|2</t>
        </is>
      </c>
      <c r="H173" t="inlineStr">
        <is>
          <t xml:space="preserve">a,b|2</t>
        </is>
      </c>
      <c r="I173" s="3" t="inlineStr">
        <is>
          <t xml:space="preserve">PASS</t>
        </is>
      </c>
    </row>
    <row r="174">
      <c r="A174" t="inlineStr">
        <is>
          <t xml:space="preserve">TC-F-006</t>
        </is>
      </c>
      <c r="B174" t="inlineStr">
        <is>
          <t xml:space="preserve">入出力</t>
        </is>
      </c>
      <c r="C174" t="inlineStr">
        <is>
          <t xml:space="preserve">CSV読み込み(セル内改行)</t>
        </is>
      </c>
      <c r="D174" t="inlineStr">
        <is>
          <t xml:space="preserve">境界値</t>
        </is>
      </c>
      <c r="E174" t="inlineStr">
        <is>
          <t xml:space="preserve">-</t>
        </is>
      </c>
      <c r="F174" t="inlineStr">
        <is>
          <t xml:space="preserve">"a\nb",2 をパース</t>
        </is>
      </c>
      <c r="G174" t="inlineStr">
        <is>
          <t xml:space="preserve">1行2列</t>
        </is>
      </c>
      <c r="H174" t="inlineStr">
        <is>
          <t xml:space="preserve">1行2列</t>
        </is>
      </c>
      <c r="I174" s="3" t="inlineStr">
        <is>
          <t xml:space="preserve">PASS</t>
        </is>
      </c>
    </row>
    <row r="175">
      <c r="A175" t="inlineStr">
        <is>
          <t xml:space="preserve">TC-F-007</t>
        </is>
      </c>
      <c r="B175" t="inlineStr">
        <is>
          <t xml:space="preserve">入出力</t>
        </is>
      </c>
      <c r="C175" t="inlineStr">
        <is>
          <t xml:space="preserve">TSV読み込み</t>
        </is>
      </c>
      <c r="D175" t="inlineStr">
        <is>
          <t xml:space="preserve">正常系</t>
        </is>
      </c>
      <c r="E175" t="inlineStr">
        <is>
          <t xml:space="preserve">-</t>
        </is>
      </c>
      <c r="F175" t="inlineStr">
        <is>
          <t xml:space="preserve">タブ区切りをパース</t>
        </is>
      </c>
      <c r="G175" t="inlineStr">
        <is>
          <t xml:space="preserve">a|b|c</t>
        </is>
      </c>
      <c r="H175" t="inlineStr">
        <is>
          <t xml:space="preserve">a|b|c</t>
        </is>
      </c>
      <c r="I175" s="3" t="inlineStr">
        <is>
          <t xml:space="preserve">PASS</t>
        </is>
      </c>
    </row>
    <row r="176">
      <c r="A176" t="inlineStr">
        <is>
          <t xml:space="preserve">TC-F-008</t>
        </is>
      </c>
      <c r="B176" t="inlineStr">
        <is>
          <t xml:space="preserve">入出力</t>
        </is>
      </c>
      <c r="C176" t="inlineStr">
        <is>
          <t xml:space="preserve">JSON往復で値が保たれる</t>
        </is>
      </c>
      <c r="D176" t="inlineStr">
        <is>
          <t xml:space="preserve">正常系</t>
        </is>
      </c>
      <c r="E176" t="inlineStr">
        <is>
          <t xml:space="preserve">A1=1,B1=abc</t>
        </is>
      </c>
      <c r="F176" t="inlineStr">
        <is>
          <t xml:space="preserve">toJSON→fromJSON</t>
        </is>
      </c>
      <c r="G176" t="inlineStr">
        <is>
          <t xml:space="preserve">1/abc</t>
        </is>
      </c>
      <c r="H176" t="inlineStr">
        <is>
          <t xml:space="preserve">1/abc</t>
        </is>
      </c>
      <c r="I176" s="3" t="inlineStr">
        <is>
          <t xml:space="preserve">PASS</t>
        </is>
      </c>
    </row>
    <row r="177">
      <c r="A177" t="inlineStr">
        <is>
          <t xml:space="preserve">TC-F-009</t>
        </is>
      </c>
      <c r="B177" t="inlineStr">
        <is>
          <t xml:space="preserve">入出力</t>
        </is>
      </c>
      <c r="C177" t="inlineStr">
        <is>
          <t xml:space="preserve">JSON往復で数式が保たれる</t>
        </is>
      </c>
      <c r="D177" t="inlineStr">
        <is>
          <t xml:space="preserve">正常系</t>
        </is>
      </c>
      <c r="E177" t="inlineStr">
        <is>
          <t xml:space="preserve">C1==SUM(A1:B1)</t>
        </is>
      </c>
      <c r="F177" t="inlineStr">
        <is>
          <t xml:space="preserve">toJSON→fromJSON→再計算</t>
        </is>
      </c>
      <c r="G177">
        <f>SUM(A1:B1)/3</f>
        <v>0</v>
      </c>
      <c r="H177">
        <f>SUM(A1:B1)/3</f>
        <v>0</v>
      </c>
      <c r="I177" s="3" t="inlineStr">
        <is>
          <t xml:space="preserve">PASS</t>
        </is>
      </c>
    </row>
    <row r="178">
      <c r="A178" t="inlineStr">
        <is>
          <t xml:space="preserve">TC-F-010</t>
        </is>
      </c>
      <c r="B178" t="inlineStr">
        <is>
          <t xml:space="preserve">入出力</t>
        </is>
      </c>
      <c r="C178" t="inlineStr">
        <is>
          <t xml:space="preserve">JSON往復で書式が保たれる</t>
        </is>
      </c>
      <c r="D178" t="inlineStr">
        <is>
          <t xml:space="preserve">正常系</t>
        </is>
      </c>
      <c r="E178" t="inlineStr">
        <is>
          <t xml:space="preserve">A1に太字と通貨書式</t>
        </is>
      </c>
      <c r="F178" t="inlineStr">
        <is>
          <t xml:space="preserve">toJSON→fromJSON</t>
        </is>
      </c>
      <c r="G178" t="inlineStr">
        <is>
          <t xml:space="preserve">b=true nf=¥#,##0</t>
        </is>
      </c>
      <c r="H178" t="inlineStr">
        <is>
          <t xml:space="preserve">b=true nf=¥#,##0</t>
        </is>
      </c>
      <c r="I178" s="3" t="inlineStr">
        <is>
          <t xml:space="preserve">PASS</t>
        </is>
      </c>
    </row>
    <row r="179">
      <c r="A179" t="inlineStr">
        <is>
          <t xml:space="preserve">TC-F-011</t>
        </is>
      </c>
      <c r="B179" t="inlineStr">
        <is>
          <t xml:space="preserve">入出力</t>
        </is>
      </c>
      <c r="C179" t="inlineStr">
        <is>
          <t xml:space="preserve">JSON往復でシート構成が保たれる</t>
        </is>
      </c>
      <c r="D179" t="inlineStr">
        <is>
          <t xml:space="preserve">正常系</t>
        </is>
      </c>
      <c r="E179" t="inlineStr">
        <is>
          <t xml:space="preserve">3シート</t>
        </is>
      </c>
      <c r="F179" t="inlineStr">
        <is>
          <t xml:space="preserve">toJSON→fromJSON</t>
        </is>
      </c>
      <c r="G179" t="inlineStr">
        <is>
          <t xml:space="preserve">3/Sheet1,売上,経費</t>
        </is>
      </c>
      <c r="H179" t="inlineStr">
        <is>
          <t xml:space="preserve">3/Sheet1,売上,経費</t>
        </is>
      </c>
      <c r="I179" s="3" t="inlineStr">
        <is>
          <t xml:space="preserve">PASS</t>
        </is>
      </c>
    </row>
    <row r="180">
      <c r="A180" t="inlineStr">
        <is>
          <t xml:space="preserve">TC-F-012</t>
        </is>
      </c>
      <c r="B180" t="inlineStr">
        <is>
          <t xml:space="preserve">入出力</t>
        </is>
      </c>
      <c r="C180" t="inlineStr">
        <is>
          <t xml:space="preserve">xlsx出力がZIP形式(PKヘッダ)である</t>
        </is>
      </c>
      <c r="D180" t="inlineStr">
        <is>
          <t xml:space="preserve">正常系</t>
        </is>
      </c>
      <c r="E180" t="inlineStr">
        <is>
          <t xml:space="preserve">A1=1</t>
        </is>
      </c>
      <c r="F180" t="inlineStr">
        <is>
          <t xml:space="preserve">exportXlsxのバイト列先頭を確認</t>
        </is>
      </c>
      <c r="G180" t="inlineStr">
        <is>
          <t xml:space="preserve">PK</t>
        </is>
      </c>
      <c r="H180" t="inlineStr">
        <is>
          <t xml:space="preserve">PK</t>
        </is>
      </c>
      <c r="I180" s="3" t="inlineStr">
        <is>
          <t xml:space="preserve">PASS</t>
        </is>
      </c>
    </row>
    <row r="181">
      <c r="A181" t="inlineStr">
        <is>
          <t xml:space="preserve">TC-F-013</t>
        </is>
      </c>
      <c r="B181" t="inlineStr">
        <is>
          <t xml:space="preserve">入出力</t>
        </is>
      </c>
      <c r="C181" t="inlineStr">
        <is>
          <t xml:space="preserve">xlsx内にセル値が書き出される</t>
        </is>
      </c>
      <c r="D181" t="inlineStr">
        <is>
          <t xml:space="preserve">正常系</t>
        </is>
      </c>
      <c r="E181" t="inlineStr">
        <is>
          <t xml:space="preserve">A1=123</t>
        </is>
      </c>
      <c r="F181" t="inlineStr">
        <is>
          <t xml:space="preserve">sheet1.xmlを検査</t>
        </is>
      </c>
      <c r="G181" t="inlineStr">
        <is>
          <t xml:space="preserve">123を含む</t>
        </is>
      </c>
      <c r="H181" t="inlineStr">
        <is>
          <t xml:space="preserve">123を含む</t>
        </is>
      </c>
      <c r="I181" s="3" t="inlineStr">
        <is>
          <t xml:space="preserve">PASS</t>
        </is>
      </c>
    </row>
    <row r="182">
      <c r="A182" t="inlineStr">
        <is>
          <t xml:space="preserve">TC-F-014</t>
        </is>
      </c>
      <c r="B182" t="inlineStr">
        <is>
          <t xml:space="preserve">入出力</t>
        </is>
      </c>
      <c r="C182" t="inlineStr">
        <is>
          <t xml:space="preserve">xlsxに数式が数式のまま出力される</t>
        </is>
      </c>
      <c r="D182" t="inlineStr">
        <is>
          <t xml:space="preserve">正常系</t>
        </is>
      </c>
      <c r="E182" t="inlineStr">
        <is>
          <t xml:space="preserve">C1==SUM(A1:B1)</t>
        </is>
      </c>
      <c r="F182" t="inlineStr">
        <is>
          <t xml:space="preserve">sheet1.xmlの&lt;f&gt;要素を確認</t>
        </is>
      </c>
      <c r="G182" t="inlineStr">
        <is>
          <t xml:space="preserve">SUM(A1:B1)</t>
        </is>
      </c>
      <c r="H182" t="inlineStr">
        <is>
          <t xml:space="preserve">SUM(A1:B1)</t>
        </is>
      </c>
      <c r="I182" s="3" t="inlineStr">
        <is>
          <t xml:space="preserve">PASS</t>
        </is>
      </c>
    </row>
    <row r="183">
      <c r="A183" t="inlineStr">
        <is>
          <t xml:space="preserve">TC-F-015</t>
        </is>
      </c>
      <c r="B183" t="inlineStr">
        <is>
          <t xml:space="preserve">入出力</t>
        </is>
      </c>
      <c r="C183" t="inlineStr">
        <is>
          <t xml:space="preserve">xlsx出力でXML特殊文字がエスケープされる</t>
        </is>
      </c>
      <c r="D183" t="inlineStr">
        <is>
          <t xml:space="preserve">境界値</t>
        </is>
      </c>
      <c r="E183" t="inlineStr">
        <is>
          <t xml:space="preserve">A1=&lt;a&amp;b&gt;</t>
        </is>
      </c>
      <c r="F183" t="inlineStr">
        <is>
          <t xml:space="preserve">sharedStrings/sheetを検査</t>
        </is>
      </c>
      <c r="G183" t="inlineStr">
        <is>
          <t xml:space="preserve">エスケープ済み</t>
        </is>
      </c>
      <c r="H183" t="inlineStr">
        <is>
          <t xml:space="preserve">エスケープ済み</t>
        </is>
      </c>
      <c r="I183" s="3" t="inlineStr">
        <is>
          <t xml:space="preserve">PASS</t>
        </is>
      </c>
    </row>
    <row r="184">
      <c r="A184" t="inlineStr">
        <is>
          <t xml:space="preserve">TC-F-016</t>
        </is>
      </c>
      <c r="B184" t="inlineStr">
        <is>
          <t xml:space="preserve">入出力</t>
        </is>
      </c>
      <c r="C184" t="inlineStr">
        <is>
          <t xml:space="preserve">xlsx出力に全シートが含まれる</t>
        </is>
      </c>
      <c r="D184" t="inlineStr">
        <is>
          <t xml:space="preserve">正常系</t>
        </is>
      </c>
      <c r="E184" t="inlineStr">
        <is>
          <t xml:space="preserve">3シート</t>
        </is>
      </c>
      <c r="F184" t="inlineStr">
        <is>
          <t xml:space="preserve">sheetN.xmlの数を確認</t>
        </is>
      </c>
      <c r="G184">
        <v>3</v>
      </c>
      <c r="H184">
        <v>3</v>
      </c>
      <c r="I184" s="3" t="inlineStr">
        <is>
          <t xml:space="preserve">PASS</t>
        </is>
      </c>
    </row>
    <row r="185">
      <c r="A185" t="inlineStr">
        <is>
          <t xml:space="preserve">TC-F-017</t>
        </is>
      </c>
      <c r="B185" t="inlineStr">
        <is>
          <t xml:space="preserve">入出力</t>
        </is>
      </c>
      <c r="C185" t="inlineStr">
        <is>
          <t xml:space="preserve">xlsxのZIP自己往復(生成→展開)</t>
        </is>
      </c>
      <c r="D185" t="inlineStr">
        <is>
          <t xml:space="preserve">正常系</t>
        </is>
      </c>
      <c r="E185" t="inlineStr">
        <is>
          <t xml:space="preserve">-</t>
        </is>
      </c>
      <c r="F185" t="inlineStr">
        <is>
          <t xml:space="preserve">zipCreate→zipReadで内容一致</t>
        </is>
      </c>
      <c r="G185" t="inlineStr">
        <is>
          <t xml:space="preserve">一致</t>
        </is>
      </c>
      <c r="H185" t="inlineStr">
        <is>
          <t xml:space="preserve">一致</t>
        </is>
      </c>
      <c r="I185" s="3" t="inlineStr">
        <is>
          <t xml:space="preserve">PASS</t>
        </is>
      </c>
    </row>
    <row r="186">
      <c r="A186" t="inlineStr">
        <is>
          <t xml:space="preserve">TC-F-018</t>
        </is>
      </c>
      <c r="B186" t="inlineStr">
        <is>
          <t xml:space="preserve">入出力</t>
        </is>
      </c>
      <c r="C186" t="inlineStr">
        <is>
          <t xml:space="preserve">HTML出力にテーブルが生成される</t>
        </is>
      </c>
      <c r="D186" t="inlineStr">
        <is>
          <t xml:space="preserve">正常系</t>
        </is>
      </c>
      <c r="E186" t="inlineStr">
        <is>
          <t xml:space="preserve">A1=a</t>
        </is>
      </c>
      <c r="F186" t="inlineStr">
        <is>
          <t xml:space="preserve">sheetToHtmlを実行</t>
        </is>
      </c>
      <c r="G186" t="inlineStr">
        <is>
          <t xml:space="preserve">tableを含む</t>
        </is>
      </c>
      <c r="H186" t="inlineStr">
        <is>
          <t xml:space="preserve">tableを含む</t>
        </is>
      </c>
      <c r="I186" s="3" t="inlineStr">
        <is>
          <t xml:space="preserve">PASS</t>
        </is>
      </c>
    </row>
    <row r="187">
      <c r="A187" t="inlineStr">
        <is>
          <t xml:space="preserve">TC-F-019</t>
        </is>
      </c>
      <c r="B187" t="inlineStr">
        <is>
          <t xml:space="preserve">入出力</t>
        </is>
      </c>
      <c r="C187" t="inlineStr">
        <is>
          <t xml:space="preserve">HTML出力でスクリプトが混入しない(XSS)</t>
        </is>
      </c>
      <c r="D187" t="inlineStr">
        <is>
          <t xml:space="preserve">セキュリティ</t>
        </is>
      </c>
      <c r="E187" t="inlineStr">
        <is>
          <t xml:space="preserve">A1=&lt;script&gt;alert(1)&lt;/script&gt;</t>
        </is>
      </c>
      <c r="F187" t="inlineStr">
        <is>
          <t xml:space="preserve">sheetToHtmlを実行</t>
        </is>
      </c>
      <c r="G187" t="inlineStr">
        <is>
          <t xml:space="preserve">エスケープ済み</t>
        </is>
      </c>
      <c r="H187" t="inlineStr">
        <is>
          <t xml:space="preserve">エスケープ済み</t>
        </is>
      </c>
      <c r="I187" s="3" t="inlineStr">
        <is>
          <t xml:space="preserve">PASS</t>
        </is>
      </c>
    </row>
    <row r="188">
      <c r="A188" t="inlineStr">
        <is>
          <t xml:space="preserve">TC-F-020</t>
        </is>
      </c>
      <c r="B188" t="inlineStr">
        <is>
          <t xml:space="preserve">入出力</t>
        </is>
      </c>
      <c r="C188" t="inlineStr">
        <is>
          <t xml:space="preserve">CSV出力で先頭が=の文字列(CSVインジェクション)</t>
        </is>
      </c>
      <c r="D188" t="inlineStr">
        <is>
          <t xml:space="preserve">セキュリティ</t>
        </is>
      </c>
      <c r="E188" t="inlineStr">
        <is>
          <t xml:space="preserve">A1に文字列 =cmd</t>
        </is>
      </c>
      <c r="F188" t="inlineStr">
        <is>
          <t xml:space="preserve">CSV出力の該当セルを確認</t>
        </is>
      </c>
      <c r="G188" t="inlineStr">
        <is>
          <t xml:space="preserve">無害化されている</t>
        </is>
      </c>
      <c r="H188" t="inlineStr">
        <is>
          <t xml:space="preserve">先頭がそのまま=で出力される</t>
        </is>
      </c>
      <c r="I188" s="4" t="inlineStr">
        <is>
          <t xml:space="preserve">FAIL</t>
        </is>
      </c>
    </row>
    <row r="189">
      <c r="A189" t="inlineStr">
        <is>
          <t xml:space="preserve">TC-G-001</t>
        </is>
      </c>
      <c r="B189" t="inlineStr">
        <is>
          <t xml:space="preserve">性能</t>
        </is>
      </c>
      <c r="C189" t="inlineStr">
        <is>
          <t xml:space="preserve">1万セル入力の処理時間</t>
        </is>
      </c>
      <c r="D189" t="inlineStr">
        <is>
          <t xml:space="preserve">負荷</t>
        </is>
      </c>
      <c r="E189" t="inlineStr">
        <is>
          <t xml:space="preserve">-</t>
        </is>
      </c>
      <c r="F189" t="inlineStr">
        <is>
          <t xml:space="preserve">100x100に数値を入力</t>
        </is>
      </c>
      <c r="G189" t="inlineStr">
        <is>
          <t xml:space="preserve">3000ms以内</t>
        </is>
      </c>
      <c r="H189" t="inlineStr">
        <is>
          <t xml:space="preserve">3000ms以内(9ms)</t>
        </is>
      </c>
      <c r="I189" s="3" t="inlineStr">
        <is>
          <t xml:space="preserve">PASS</t>
        </is>
      </c>
    </row>
    <row r="190">
      <c r="A190" t="inlineStr">
        <is>
          <t xml:space="preserve">TC-G-002</t>
        </is>
      </c>
      <c r="B190" t="inlineStr">
        <is>
          <t xml:space="preserve">性能</t>
        </is>
      </c>
      <c r="C190" t="inlineStr">
        <is>
          <t xml:space="preserve">1万件の数式再計算時間</t>
        </is>
      </c>
      <c r="D190" t="inlineStr">
        <is>
          <t xml:space="preserve">負荷</t>
        </is>
      </c>
      <c r="E190" t="inlineStr">
        <is>
          <t xml:space="preserve">A列に1万件の数値</t>
        </is>
      </c>
      <c r="F190" t="inlineStr">
        <is>
          <t xml:space="preserve">B列に=A*2を1万件置き再計算</t>
        </is>
      </c>
      <c r="G190" t="inlineStr">
        <is>
          <t xml:space="preserve">5000ms以内</t>
        </is>
      </c>
      <c r="H190" t="inlineStr">
        <is>
          <t xml:space="preserve">5000ms以内(1455ms,末尾値OK)</t>
        </is>
      </c>
      <c r="I190" s="3" t="inlineStr">
        <is>
          <t xml:space="preserve">PASS</t>
        </is>
      </c>
    </row>
    <row r="191">
      <c r="A191" t="inlineStr">
        <is>
          <t xml:space="preserve">TC-G-003</t>
        </is>
      </c>
      <c r="B191" t="inlineStr">
        <is>
          <t xml:space="preserve">性能</t>
        </is>
      </c>
      <c r="C191" t="inlineStr">
        <is>
          <t xml:space="preserve">1万件SUMの集計時間</t>
        </is>
      </c>
      <c r="D191" t="inlineStr">
        <is>
          <t xml:space="preserve">負荷</t>
        </is>
      </c>
      <c r="E191" t="inlineStr">
        <is>
          <t xml:space="preserve">A1:A10000に数値</t>
        </is>
      </c>
      <c r="F191">
        <f>SUM(A1:A10000)</f>
        <v>0</v>
      </c>
      <c r="G191" t="inlineStr">
        <is>
          <t xml:space="preserve">2000ms以内</t>
        </is>
      </c>
      <c r="H191" t="inlineStr">
        <is>
          <t xml:space="preserve">2000ms以内(6ms,値10000)</t>
        </is>
      </c>
      <c r="I191" s="3" t="inlineStr">
        <is>
          <t xml:space="preserve">PASS</t>
        </is>
      </c>
    </row>
    <row r="192">
      <c r="A192" t="inlineStr">
        <is>
          <t xml:space="preserve">TC-G-004</t>
        </is>
      </c>
      <c r="B192" t="inlineStr">
        <is>
          <t xml:space="preserve">性能</t>
        </is>
      </c>
      <c r="C192" t="inlineStr">
        <is>
          <t xml:space="preserve">5000行のCSV出力時間</t>
        </is>
      </c>
      <c r="D192" t="inlineStr">
        <is>
          <t xml:space="preserve">負荷</t>
        </is>
      </c>
      <c r="E192" t="inlineStr">
        <is>
          <t xml:space="preserve">5000x10のデータ</t>
        </is>
      </c>
      <c r="F192" t="inlineStr">
        <is>
          <t xml:space="preserve">CSV生成</t>
        </is>
      </c>
      <c r="G192" t="inlineStr">
        <is>
          <t xml:space="preserve">3000ms以内</t>
        </is>
      </c>
      <c r="H192" t="inlineStr">
        <is>
          <t xml:space="preserve">3000ms以内(57ms,5000行)</t>
        </is>
      </c>
      <c r="I192" s="3" t="inlineStr">
        <is>
          <t xml:space="preserve">PASS</t>
        </is>
      </c>
    </row>
    <row r="193">
      <c r="A193" t="inlineStr">
        <is>
          <t xml:space="preserve">TC-G-005</t>
        </is>
      </c>
      <c r="B193" t="inlineStr">
        <is>
          <t xml:space="preserve">性能</t>
        </is>
      </c>
      <c r="C193" t="inlineStr">
        <is>
          <t xml:space="preserve">大きなブックのxlsx書き出し時間</t>
        </is>
      </c>
      <c r="D193" t="inlineStr">
        <is>
          <t xml:space="preserve">負荷</t>
        </is>
      </c>
      <c r="E193" t="inlineStr">
        <is>
          <t xml:space="preserve">2000x10のデータ</t>
        </is>
      </c>
      <c r="F193" t="inlineStr">
        <is>
          <t xml:space="preserve">exportXlsx</t>
        </is>
      </c>
      <c r="G193" t="inlineStr">
        <is>
          <t xml:space="preserve">10000ms以内</t>
        </is>
      </c>
      <c r="H193" t="inlineStr">
        <is>
          <t xml:space="preserve">10000ms以内(46ms,69KB)</t>
        </is>
      </c>
      <c r="I193" s="3" t="inlineStr">
        <is>
          <t xml:space="preserve">PASS</t>
        </is>
      </c>
    </row>
    <row r="194">
      <c r="A194" t="inlineStr">
        <is>
          <t xml:space="preserve">TC-H-001</t>
        </is>
      </c>
      <c r="B194" t="inlineStr">
        <is>
          <t xml:space="preserve">関数(条件集計)</t>
        </is>
      </c>
      <c r="C194" t="inlineStr">
        <is>
          <t xml:space="preserve">COUNTIFの条件をセル参照で組み立てる</t>
        </is>
      </c>
      <c r="D194" t="inlineStr">
        <is>
          <t xml:space="preserve">組み合わせ</t>
        </is>
      </c>
      <c r="E194" t="inlineStr">
        <is>
          <t xml:space="preserve">A1:A4=1,5,10,20 / C1=5</t>
        </is>
      </c>
      <c r="F194">
        <f>COUNTIF(A1:A4,"&gt;"&amp;C1)</f>
        <v>0</v>
      </c>
      <c r="G194">
        <v>2</v>
      </c>
      <c r="H194">
        <v>2</v>
      </c>
      <c r="I194" s="3" t="inlineStr">
        <is>
          <t xml:space="preserve">PASS</t>
        </is>
      </c>
    </row>
    <row r="195">
      <c r="A195" t="inlineStr">
        <is>
          <t xml:space="preserve">TC-H-002</t>
        </is>
      </c>
      <c r="B195" t="inlineStr">
        <is>
          <t xml:space="preserve">関数(条件集計)</t>
        </is>
      </c>
      <c r="C195" t="inlineStr">
        <is>
          <t xml:space="preserve">COUNTIFの条件が完全一致(文字列)</t>
        </is>
      </c>
      <c r="D195" t="inlineStr">
        <is>
          <t xml:space="preserve">同値分割</t>
        </is>
      </c>
      <c r="E195" t="inlineStr">
        <is>
          <t xml:space="preserve">A1:A3=x,X,y</t>
        </is>
      </c>
      <c r="F195">
        <f>COUNTIF(A1:A3,"x")</f>
        <v>0</v>
      </c>
      <c r="G195">
        <v>2</v>
      </c>
      <c r="H195">
        <v>2</v>
      </c>
      <c r="I195" s="3" t="inlineStr">
        <is>
          <t xml:space="preserve">PASS</t>
        </is>
      </c>
    </row>
    <row r="196">
      <c r="A196" t="inlineStr">
        <is>
          <t xml:space="preserve">TC-H-003</t>
        </is>
      </c>
      <c r="B196" t="inlineStr">
        <is>
          <t xml:space="preserve">関数(条件集計)</t>
        </is>
      </c>
      <c r="C196" t="inlineStr">
        <is>
          <t xml:space="preserve">COUNTIFのワイルドカード(?は1文字)</t>
        </is>
      </c>
      <c r="D196" t="inlineStr">
        <is>
          <t xml:space="preserve">境界値</t>
        </is>
      </c>
      <c r="E196" t="inlineStr">
        <is>
          <t xml:space="preserve">A1=ab,A2=abc</t>
        </is>
      </c>
      <c r="F196">
        <f>COUNTIF(A1:A2,"a?")</f>
        <v>0</v>
      </c>
      <c r="G196">
        <v>1</v>
      </c>
      <c r="H196">
        <v>1</v>
      </c>
      <c r="I196" s="3" t="inlineStr">
        <is>
          <t xml:space="preserve">PASS</t>
        </is>
      </c>
    </row>
    <row r="197">
      <c r="A197" t="inlineStr">
        <is>
          <t xml:space="preserve">TC-H-004</t>
        </is>
      </c>
      <c r="B197" t="inlineStr">
        <is>
          <t xml:space="preserve">関数(条件集計)</t>
        </is>
      </c>
      <c r="C197" t="inlineStr">
        <is>
          <t xml:space="preserve">SUMIFS 条件範囲と合計範囲のサイズ不一致</t>
        </is>
      </c>
      <c r="D197" t="inlineStr">
        <is>
          <t xml:space="preserve">異常系</t>
        </is>
      </c>
      <c r="E197" t="inlineStr">
        <is>
          <t xml:space="preserve">C1:C2 と A1:A4</t>
        </is>
      </c>
      <c r="F197">
        <f>SUMIFS(C1:C2,A1:A4,"x")</f>
        <v>0</v>
      </c>
      <c r="G197" t="inlineStr">
        <is>
          <t xml:space="preserve">#VALUE!</t>
        </is>
      </c>
      <c r="H197">
        <v>2</v>
      </c>
      <c r="I197" s="4" t="inlineStr">
        <is>
          <t xml:space="preserve">FAIL</t>
        </is>
      </c>
    </row>
    <row r="198">
      <c r="A198" t="inlineStr">
        <is>
          <t xml:space="preserve">TC-H-005</t>
        </is>
      </c>
      <c r="B198" t="inlineStr">
        <is>
          <t xml:space="preserve">関数(条件集計)</t>
        </is>
      </c>
      <c r="C198" t="inlineStr">
        <is>
          <t xml:space="preserve">SUMIF 空条件は0件扱い</t>
        </is>
      </c>
      <c r="D198" t="inlineStr">
        <is>
          <t xml:space="preserve">境界値</t>
        </is>
      </c>
      <c r="E198" t="inlineStr">
        <is>
          <t xml:space="preserve">A1:A2=1,2</t>
        </is>
      </c>
      <c r="F198">
        <f>SUMIF(A1:A2,"")</f>
        <v>0</v>
      </c>
      <c r="G198">
        <v>0</v>
      </c>
      <c r="H198">
        <v>0</v>
      </c>
      <c r="I198" s="3" t="inlineStr">
        <is>
          <t xml:space="preserve">PASS</t>
        </is>
      </c>
    </row>
    <row r="199">
      <c r="A199" t="inlineStr">
        <is>
          <t xml:space="preserve">TC-H-006</t>
        </is>
      </c>
      <c r="B199" t="inlineStr">
        <is>
          <t xml:space="preserve">関数(検索)</t>
        </is>
      </c>
      <c r="C199" t="inlineStr">
        <is>
          <t xml:space="preserve">VLOOKUP 近似一致で検索値が最小値未満</t>
        </is>
      </c>
      <c r="D199" t="inlineStr">
        <is>
          <t xml:space="preserve">境界値</t>
        </is>
      </c>
      <c r="E199" t="inlineStr">
        <is>
          <t xml:space="preserve">A=10,20 / B=中,高</t>
        </is>
      </c>
      <c r="F199" t="e">
        <f>VLOOKUP(5,A1:B2,2,TRUE)</f>
        <v>#N/A</v>
      </c>
      <c r="G199" t="inlineStr">
        <is>
          <t xml:space="preserve">#N/A</t>
        </is>
      </c>
      <c r="H199" t="inlineStr">
        <is>
          <t xml:space="preserve">#N/A</t>
        </is>
      </c>
      <c r="I199" s="3" t="inlineStr">
        <is>
          <t xml:space="preserve">PASS</t>
        </is>
      </c>
    </row>
    <row r="200">
      <c r="A200" t="inlineStr">
        <is>
          <t xml:space="preserve">TC-H-007</t>
        </is>
      </c>
      <c r="B200" t="inlineStr">
        <is>
          <t xml:space="preserve">関数(検索)</t>
        </is>
      </c>
      <c r="C200" t="inlineStr">
        <is>
          <t xml:space="preserve">VLOOKUP 近似一致で検索値が最大値超</t>
        </is>
      </c>
      <c r="D200" t="inlineStr">
        <is>
          <t xml:space="preserve">境界値</t>
        </is>
      </c>
      <c r="E200" t="inlineStr">
        <is>
          <t xml:space="preserve">A=10,20</t>
        </is>
      </c>
      <c r="F200" t="e">
        <f>VLOOKUP(99,A1:B2,2,TRUE)</f>
        <v>#N/A</v>
      </c>
      <c r="G200" t="inlineStr">
        <is>
          <t xml:space="preserve">高</t>
        </is>
      </c>
      <c r="H200" t="inlineStr">
        <is>
          <t xml:space="preserve">高</t>
        </is>
      </c>
      <c r="I200" s="3" t="inlineStr">
        <is>
          <t xml:space="preserve">PASS</t>
        </is>
      </c>
    </row>
    <row r="201">
      <c r="A201" t="inlineStr">
        <is>
          <t xml:space="preserve">TC-H-008</t>
        </is>
      </c>
      <c r="B201" t="inlineStr">
        <is>
          <t xml:space="preserve">関数(検索)</t>
        </is>
      </c>
      <c r="C201" t="inlineStr">
        <is>
          <t xml:space="preserve">VLOOKUP 第4引数省略時は近似一致</t>
        </is>
      </c>
      <c r="D201" t="inlineStr">
        <is>
          <t xml:space="preserve">エラー推測</t>
        </is>
      </c>
      <c r="E201" t="inlineStr">
        <is>
          <t xml:space="preserve">A=10,20</t>
        </is>
      </c>
      <c r="F201" t="e">
        <f>VLOOKUP(15,A1:B2,2)</f>
        <v>#N/A</v>
      </c>
      <c r="G201" t="inlineStr">
        <is>
          <t xml:space="preserve">中</t>
        </is>
      </c>
      <c r="H201" t="inlineStr">
        <is>
          <t xml:space="preserve">中</t>
        </is>
      </c>
      <c r="I201" s="3" t="inlineStr">
        <is>
          <t xml:space="preserve">PASS</t>
        </is>
      </c>
    </row>
    <row r="202">
      <c r="A202" t="inlineStr">
        <is>
          <t xml:space="preserve">TC-H-009</t>
        </is>
      </c>
      <c r="B202" t="inlineStr">
        <is>
          <t xml:space="preserve">関数(検索)</t>
        </is>
      </c>
      <c r="C202" t="inlineStr">
        <is>
          <t xml:space="preserve">MATCH 一致モード1(以下の最大値)</t>
        </is>
      </c>
      <c r="D202" t="inlineStr">
        <is>
          <t xml:space="preserve">境界値</t>
        </is>
      </c>
      <c r="E202" t="inlineStr">
        <is>
          <t xml:space="preserve">A1:A3=10,20,30</t>
        </is>
      </c>
      <c r="F202" t="e">
        <f>MATCH(25,A1:A3,1)</f>
        <v>#N/A</v>
      </c>
      <c r="G202">
        <v>2</v>
      </c>
      <c r="H202">
        <v>2</v>
      </c>
      <c r="I202" s="3" t="inlineStr">
        <is>
          <t xml:space="preserve">PASS</t>
        </is>
      </c>
    </row>
    <row r="203">
      <c r="A203" t="inlineStr">
        <is>
          <t xml:space="preserve">TC-H-010</t>
        </is>
      </c>
      <c r="B203" t="inlineStr">
        <is>
          <t xml:space="preserve">関数(検索)</t>
        </is>
      </c>
      <c r="C203" t="inlineStr">
        <is>
          <t xml:space="preserve">MATCH 一致モード-1(降順で以上の最小値)</t>
        </is>
      </c>
      <c r="D203" t="inlineStr">
        <is>
          <t xml:space="preserve">境界値</t>
        </is>
      </c>
      <c r="E203" t="inlineStr">
        <is>
          <t xml:space="preserve">A1:A3=30,20,10</t>
        </is>
      </c>
      <c r="F203">
        <f>MATCH(25,A1:A3,-1)</f>
        <v>3</v>
      </c>
      <c r="G203">
        <v>1</v>
      </c>
      <c r="H203">
        <v>1</v>
      </c>
      <c r="I203" s="3" t="inlineStr">
        <is>
          <t xml:space="preserve">PASS</t>
        </is>
      </c>
    </row>
    <row r="204">
      <c r="A204" t="inlineStr">
        <is>
          <t xml:space="preserve">TC-H-011</t>
        </is>
      </c>
      <c r="B204" t="inlineStr">
        <is>
          <t xml:space="preserve">関数(検索)</t>
        </is>
      </c>
      <c r="C204" t="inlineStr">
        <is>
          <t xml:space="preserve">MATCH 見つからない場合は#N/A</t>
        </is>
      </c>
      <c r="D204" t="inlineStr">
        <is>
          <t xml:space="preserve">異常系</t>
        </is>
      </c>
      <c r="E204" t="inlineStr">
        <is>
          <t xml:space="preserve">A1:A3=x,y,z</t>
        </is>
      </c>
      <c r="F204" t="e">
        <f>MATCH("q",A1:A3,0)</f>
        <v>#N/A</v>
      </c>
      <c r="G204" t="inlineStr">
        <is>
          <t xml:space="preserve">#N/A</t>
        </is>
      </c>
      <c r="H204" t="inlineStr">
        <is>
          <t xml:space="preserve">#N/A</t>
        </is>
      </c>
      <c r="I204" s="3" t="inlineStr">
        <is>
          <t xml:space="preserve">PASS</t>
        </is>
      </c>
    </row>
    <row r="205">
      <c r="A205" t="inlineStr">
        <is>
          <t xml:space="preserve">TC-H-012</t>
        </is>
      </c>
      <c r="B205" t="inlineStr">
        <is>
          <t xml:space="preserve">関数(検索)</t>
        </is>
      </c>
      <c r="C205" t="inlineStr">
        <is>
          <t xml:space="preserve">INDEX 範囲外指定は#REF!</t>
        </is>
      </c>
      <c r="D205" t="inlineStr">
        <is>
          <t xml:space="preserve">異常系</t>
        </is>
      </c>
      <c r="E205" t="inlineStr">
        <is>
          <t xml:space="preserve">A1:B2</t>
        </is>
      </c>
      <c r="F205" t="e">
        <f>INDEX(A1:B2,5,1)</f>
        <v>#REF!</v>
      </c>
      <c r="G205" t="inlineStr">
        <is>
          <t xml:space="preserve">#REF!</t>
        </is>
      </c>
      <c r="H205" t="inlineStr">
        <is>
          <t xml:space="preserve">#REF!</t>
        </is>
      </c>
      <c r="I205" s="3" t="inlineStr">
        <is>
          <t xml:space="preserve">PASS</t>
        </is>
      </c>
    </row>
    <row r="206">
      <c r="A206" t="inlineStr">
        <is>
          <t xml:space="preserve">TC-H-013</t>
        </is>
      </c>
      <c r="B206" t="inlineStr">
        <is>
          <t xml:space="preserve">関数(検索)</t>
        </is>
      </c>
      <c r="C206" t="inlineStr">
        <is>
          <t xml:space="preserve">CHOOSE 範囲外の番号は#VALUE!</t>
        </is>
      </c>
      <c r="D206" t="inlineStr">
        <is>
          <t xml:space="preserve">異常系</t>
        </is>
      </c>
      <c r="E206" t="inlineStr">
        <is>
          <t xml:space="preserve">-</t>
        </is>
      </c>
      <c r="F206" t="e">
        <f>CHOOSE(5,"a","b")</f>
        <v>#VALUE!</v>
      </c>
      <c r="G206" t="inlineStr">
        <is>
          <t xml:space="preserve">#VALUE!</t>
        </is>
      </c>
      <c r="H206" t="inlineStr">
        <is>
          <t xml:space="preserve">#VALUE!</t>
        </is>
      </c>
      <c r="I206" s="3" t="inlineStr">
        <is>
          <t xml:space="preserve">PASS</t>
        </is>
      </c>
    </row>
    <row r="207">
      <c r="A207" t="inlineStr">
        <is>
          <t xml:space="preserve">TC-H-014</t>
        </is>
      </c>
      <c r="B207" t="inlineStr">
        <is>
          <t xml:space="preserve">関数(文字列)</t>
        </is>
      </c>
      <c r="C207" t="inlineStr">
        <is>
          <t xml:space="preserve">LEFT 文字数が負なら#VALUE!</t>
        </is>
      </c>
      <c r="D207" t="inlineStr">
        <is>
          <t xml:space="preserve">異常系</t>
        </is>
      </c>
      <c r="E207" t="inlineStr">
        <is>
          <t xml:space="preserve">-</t>
        </is>
      </c>
      <c r="F207">
        <f>LEFT("abc",-1)</f>
      </c>
      <c r="G207" t="inlineStr">
        <is>
          <t xml:space="preserve">#VALUE!</t>
        </is>
      </c>
      <c r="I207" s="4" t="inlineStr">
        <is>
          <t xml:space="preserve">FAIL</t>
        </is>
      </c>
    </row>
    <row r="208">
      <c r="A208" t="inlineStr">
        <is>
          <t xml:space="preserve">TC-H-015</t>
        </is>
      </c>
      <c r="B208" t="inlineStr">
        <is>
          <t xml:space="preserve">関数(文字列)</t>
        </is>
      </c>
      <c r="C208" t="inlineStr">
        <is>
          <t xml:space="preserve">LEFT 文字数が文字列長超なら全体</t>
        </is>
      </c>
      <c r="D208" t="inlineStr">
        <is>
          <t xml:space="preserve">境界値</t>
        </is>
      </c>
      <c r="E208" t="inlineStr">
        <is>
          <t xml:space="preserve">-</t>
        </is>
      </c>
      <c r="F208" t="str">
        <f>LEFT("abc",10)</f>
        <v>abc</v>
      </c>
      <c r="G208" t="inlineStr">
        <is>
          <t xml:space="preserve">abc</t>
        </is>
      </c>
      <c r="H208" t="inlineStr">
        <is>
          <t xml:space="preserve">abc</t>
        </is>
      </c>
      <c r="I208" s="3" t="inlineStr">
        <is>
          <t xml:space="preserve">PASS</t>
        </is>
      </c>
    </row>
    <row r="209">
      <c r="A209" t="inlineStr">
        <is>
          <t xml:space="preserve">TC-H-016</t>
        </is>
      </c>
      <c r="B209" t="inlineStr">
        <is>
          <t xml:space="preserve">関数(文字列)</t>
        </is>
      </c>
      <c r="C209" t="inlineStr">
        <is>
          <t xml:space="preserve">FIND 開始位置つき検索</t>
        </is>
      </c>
      <c r="D209" t="inlineStr">
        <is>
          <t xml:space="preserve">境界値</t>
        </is>
      </c>
      <c r="E209" t="inlineStr">
        <is>
          <t xml:space="preserve">-</t>
        </is>
      </c>
      <c r="F209">
        <f>FIND("a","banana",4)</f>
        <v>4</v>
      </c>
      <c r="G209">
        <v>4</v>
      </c>
      <c r="H209">
        <v>4</v>
      </c>
      <c r="I209" s="3" t="inlineStr">
        <is>
          <t xml:space="preserve">PASS</t>
        </is>
      </c>
    </row>
    <row r="210">
      <c r="A210" t="inlineStr">
        <is>
          <t xml:space="preserve">TC-H-017</t>
        </is>
      </c>
      <c r="B210" t="inlineStr">
        <is>
          <t xml:space="preserve">関数(文字列)</t>
        </is>
      </c>
      <c r="C210" t="inlineStr">
        <is>
          <t xml:space="preserve">SUBSTITUTE 出現回数指定</t>
        </is>
      </c>
      <c r="D210" t="inlineStr">
        <is>
          <t xml:space="preserve">境界値</t>
        </is>
      </c>
      <c r="E210" t="inlineStr">
        <is>
          <t xml:space="preserve">-</t>
        </is>
      </c>
      <c r="F210" t="str">
        <f>SUBSTITUTE("a-a-a","-","+",2)</f>
        <v>a-a+a</v>
      </c>
      <c r="G210" t="inlineStr">
        <is>
          <t xml:space="preserve">a-a+a</t>
        </is>
      </c>
      <c r="H210" t="inlineStr">
        <is>
          <t xml:space="preserve">a-a+a</t>
        </is>
      </c>
      <c r="I210" s="3" t="inlineStr">
        <is>
          <t xml:space="preserve">PASS</t>
        </is>
      </c>
    </row>
    <row r="211">
      <c r="A211" t="inlineStr">
        <is>
          <t xml:space="preserve">TC-H-018</t>
        </is>
      </c>
      <c r="B211" t="inlineStr">
        <is>
          <t xml:space="preserve">関数(文字列)</t>
        </is>
      </c>
      <c r="C211" t="inlineStr">
        <is>
          <t xml:space="preserve">空セルのLENは0</t>
        </is>
      </c>
      <c r="D211" t="inlineStr">
        <is>
          <t xml:space="preserve">境界値</t>
        </is>
      </c>
      <c r="E211" t="inlineStr">
        <is>
          <t xml:space="preserve">A1は空</t>
        </is>
      </c>
      <c r="F211">
        <f>LEN(A1)</f>
        <v>5</v>
      </c>
      <c r="G211">
        <v>0</v>
      </c>
      <c r="H211">
        <v>0</v>
      </c>
      <c r="I211" s="3" t="inlineStr">
        <is>
          <t xml:space="preserve">PASS</t>
        </is>
      </c>
    </row>
    <row r="212">
      <c r="A212" t="inlineStr">
        <is>
          <t xml:space="preserve">TC-H-019</t>
        </is>
      </c>
      <c r="B212" t="inlineStr">
        <is>
          <t xml:space="preserve">関数(文字列)</t>
        </is>
      </c>
      <c r="C212" t="inlineStr">
        <is>
          <t xml:space="preserve">CONCATは範囲を連結できる</t>
        </is>
      </c>
      <c r="D212" t="inlineStr">
        <is>
          <t xml:space="preserve">正常系</t>
        </is>
      </c>
      <c r="E212" t="inlineStr">
        <is>
          <t xml:space="preserve">A1:A3=a,b,c</t>
        </is>
      </c>
      <c r="F212" t="str">
        <f>CONCAT(A1:A3)</f>
        <v>ケースIDTC-A-001TC-A-002</v>
      </c>
      <c r="G212" t="inlineStr">
        <is>
          <t xml:space="preserve">abc</t>
        </is>
      </c>
      <c r="H212" t="inlineStr">
        <is>
          <t xml:space="preserve">abc</t>
        </is>
      </c>
      <c r="I212" s="3" t="inlineStr">
        <is>
          <t xml:space="preserve">PASS</t>
        </is>
      </c>
    </row>
    <row r="213">
      <c r="A213" t="inlineStr">
        <is>
          <t xml:space="preserve">TC-H-020</t>
        </is>
      </c>
      <c r="B213" t="inlineStr">
        <is>
          <t xml:space="preserve">関数(文字列)</t>
        </is>
      </c>
      <c r="C213" t="inlineStr">
        <is>
          <t xml:space="preserve">CODE/CHAR の往復</t>
        </is>
      </c>
      <c r="D213" t="inlineStr">
        <is>
          <t xml:space="preserve">正常系</t>
        </is>
      </c>
      <c r="E213" t="inlineStr">
        <is>
          <t xml:space="preserve">-</t>
        </is>
      </c>
      <c r="F213" t="str">
        <f>CHAR(CODE("A"))</f>
        <v>A</v>
      </c>
      <c r="G213" t="inlineStr">
        <is>
          <t xml:space="preserve">A</t>
        </is>
      </c>
      <c r="H213" t="inlineStr">
        <is>
          <t xml:space="preserve">A</t>
        </is>
      </c>
      <c r="I213" s="3" t="inlineStr">
        <is>
          <t xml:space="preserve">PASS</t>
        </is>
      </c>
    </row>
    <row r="214">
      <c r="A214" t="inlineStr">
        <is>
          <t xml:space="preserve">TC-H-021</t>
        </is>
      </c>
      <c r="B214" t="inlineStr">
        <is>
          <t xml:space="preserve">関数(文字列)</t>
        </is>
      </c>
      <c r="C214" t="inlineStr">
        <is>
          <t xml:space="preserve">TEXT 和暦風フォーマット(yyyy年m月d日)</t>
        </is>
      </c>
      <c r="D214" t="inlineStr">
        <is>
          <t xml:space="preserve">正常系</t>
        </is>
      </c>
      <c r="E214" t="inlineStr">
        <is>
          <t xml:space="preserve">-</t>
        </is>
      </c>
      <c r="F214" t="str">
        <f>TEXT(DATE(2026,8,5),"yyyy年m月d日")</f>
        <v>2026年8月5日</v>
      </c>
      <c r="G214" t="inlineStr">
        <is>
          <t xml:space="preserve">2026年8月5日</t>
        </is>
      </c>
      <c r="H214" t="inlineStr">
        <is>
          <t xml:space="preserve">2026年8月5日</t>
        </is>
      </c>
      <c r="I214" s="3" t="inlineStr">
        <is>
          <t xml:space="preserve">PASS</t>
        </is>
      </c>
    </row>
    <row r="215">
      <c r="A215" t="inlineStr">
        <is>
          <t xml:space="preserve">TC-H-022</t>
        </is>
      </c>
      <c r="B215" t="inlineStr">
        <is>
          <t xml:space="preserve">関数(文字列)</t>
        </is>
      </c>
      <c r="C215" t="inlineStr">
        <is>
          <t xml:space="preserve">TEXT 時刻フォーマット</t>
        </is>
      </c>
      <c r="D215" t="inlineStr">
        <is>
          <t xml:space="preserve">正常系</t>
        </is>
      </c>
      <c r="E215" t="inlineStr">
        <is>
          <t xml:space="preserve">-</t>
        </is>
      </c>
      <c r="F215" t="str">
        <f>TEXT(TIME(9,5,0),"hh:mm")</f>
        <v>09:05</v>
      </c>
      <c r="G215" s="6">
        <v>0.3784722222222222</v>
      </c>
      <c r="H215" s="6">
        <v>0.3784722222222222</v>
      </c>
      <c r="I215" s="3" t="inlineStr">
        <is>
          <t xml:space="preserve">PASS</t>
        </is>
      </c>
    </row>
    <row r="216">
      <c r="A216" t="inlineStr">
        <is>
          <t xml:space="preserve">TC-H-023</t>
        </is>
      </c>
      <c r="B216" t="inlineStr">
        <is>
          <t xml:space="preserve">関数(数値)</t>
        </is>
      </c>
      <c r="C216" t="inlineStr">
        <is>
          <t xml:space="preserve">MOD 小数の剰余</t>
        </is>
      </c>
      <c r="D216" t="inlineStr">
        <is>
          <t xml:space="preserve">境界値</t>
        </is>
      </c>
      <c r="E216" t="inlineStr">
        <is>
          <t xml:space="preserve">-</t>
        </is>
      </c>
      <c r="F216">
        <f>ROUND(MOD(5.5,2),2)</f>
        <v>1.5</v>
      </c>
      <c r="G216">
        <v>1.5</v>
      </c>
      <c r="H216">
        <v>1.5</v>
      </c>
      <c r="I216" s="3" t="inlineStr">
        <is>
          <t xml:space="preserve">PASS</t>
        </is>
      </c>
    </row>
    <row r="217">
      <c r="A217" t="inlineStr">
        <is>
          <t xml:space="preserve">TC-H-024</t>
        </is>
      </c>
      <c r="B217" t="inlineStr">
        <is>
          <t xml:space="preserve">関数(数値)</t>
        </is>
      </c>
      <c r="C217" t="inlineStr">
        <is>
          <t xml:space="preserve">POWER 負数の分数乗は#NUM!</t>
        </is>
      </c>
      <c r="D217" t="inlineStr">
        <is>
          <t xml:space="preserve">異常系</t>
        </is>
      </c>
      <c r="E217" t="inlineStr">
        <is>
          <t xml:space="preserve">-</t>
        </is>
      </c>
      <c r="F217">
        <f>POWER(-8,1/3)</f>
        <v>0</v>
      </c>
      <c r="G217" t="inlineStr">
        <is>
          <t xml:space="preserve">#NUM!</t>
        </is>
      </c>
      <c r="H217" t="inlineStr">
        <is>
          <t xml:space="preserve">NaN</t>
        </is>
      </c>
      <c r="I217" s="4" t="inlineStr">
        <is>
          <t xml:space="preserve">FAIL</t>
        </is>
      </c>
    </row>
    <row r="218">
      <c r="A218" t="inlineStr">
        <is>
          <t xml:space="preserve">TC-H-025</t>
        </is>
      </c>
      <c r="B218" t="inlineStr">
        <is>
          <t xml:space="preserve">関数(数値)</t>
        </is>
      </c>
      <c r="C218" t="inlineStr">
        <is>
          <t xml:space="preserve">LOG 底の指定</t>
        </is>
      </c>
      <c r="D218" t="inlineStr">
        <is>
          <t xml:space="preserve">正常系</t>
        </is>
      </c>
      <c r="E218" t="inlineStr">
        <is>
          <t xml:space="preserve">-</t>
        </is>
      </c>
      <c r="F218">
        <f>LOG(8,2)</f>
        <v>3</v>
      </c>
      <c r="G218">
        <v>3</v>
      </c>
      <c r="H218">
        <v>3</v>
      </c>
      <c r="I218" s="3" t="inlineStr">
        <is>
          <t xml:space="preserve">PASS</t>
        </is>
      </c>
    </row>
    <row r="219">
      <c r="A219" t="inlineStr">
        <is>
          <t xml:space="preserve">TC-H-026</t>
        </is>
      </c>
      <c r="B219" t="inlineStr">
        <is>
          <t xml:space="preserve">関数(数値)</t>
        </is>
      </c>
      <c r="C219" t="inlineStr">
        <is>
          <t xml:space="preserve">SIGN の符号判定</t>
        </is>
      </c>
      <c r="D219" t="inlineStr">
        <is>
          <t xml:space="preserve">同値分割</t>
        </is>
      </c>
      <c r="E219" t="inlineStr">
        <is>
          <t xml:space="preserve">-</t>
        </is>
      </c>
      <c r="F219" t="str">
        <f>SIGN(-3)&amp;SIGN(0)&amp;SIGN(3)</f>
        <v>-101</v>
      </c>
      <c r="G219">
        <v>-101</v>
      </c>
      <c r="H219">
        <v>-101</v>
      </c>
      <c r="I219" s="3" t="inlineStr">
        <is>
          <t xml:space="preserve">PASS</t>
        </is>
      </c>
    </row>
    <row r="220">
      <c r="A220" t="inlineStr">
        <is>
          <t xml:space="preserve">TC-H-027</t>
        </is>
      </c>
      <c r="B220" t="inlineStr">
        <is>
          <t xml:space="preserve">関数(数値)</t>
        </is>
      </c>
      <c r="C220" t="inlineStr">
        <is>
          <t xml:space="preserve">RANDBETWEEN が範囲内に収まる</t>
        </is>
      </c>
      <c r="D220" t="inlineStr">
        <is>
          <t xml:space="preserve">境界値</t>
        </is>
      </c>
      <c r="E220" t="inlineStr">
        <is>
          <t xml:space="preserve">-</t>
        </is>
      </c>
      <c r="F220" t="e">
        <f>RANDBETWEEN(1,3)を100回</f>
        <v>#NAME?</v>
      </c>
      <c r="G220" t="inlineStr">
        <is>
          <t xml:space="preserve">すべて範囲内</t>
        </is>
      </c>
      <c r="H220" t="inlineStr">
        <is>
          <t xml:space="preserve">すべて範囲内</t>
        </is>
      </c>
      <c r="I220" s="3" t="inlineStr">
        <is>
          <t xml:space="preserve">PASS</t>
        </is>
      </c>
    </row>
    <row r="221">
      <c r="A221" t="inlineStr">
        <is>
          <t xml:space="preserve">TC-H-028</t>
        </is>
      </c>
      <c r="B221" t="inlineStr">
        <is>
          <t xml:space="preserve">関数(数値)</t>
        </is>
      </c>
      <c r="C221" t="inlineStr">
        <is>
          <t xml:space="preserve">12桁以上の整数はExcel同様に指数表記になる(仮数部の桁数も一致)</t>
        </is>
      </c>
      <c r="D221" t="inlineStr">
        <is>
          <t xml:space="preserve">境界値</t>
        </is>
      </c>
      <c r="E221" t="inlineStr">
        <is>
          <t xml:space="preserve">-</t>
        </is>
      </c>
      <c r="F221">
        <f>999999999999+1</f>
        <v>1000000000000</v>
      </c>
      <c r="G221">
        <v>1000000000000</v>
      </c>
      <c r="H221">
        <v>1000000000000</v>
      </c>
      <c r="I221" s="4" t="inlineStr">
        <is>
          <t xml:space="preserve">FAIL</t>
        </is>
      </c>
    </row>
    <row r="222">
      <c r="A222" t="inlineStr">
        <is>
          <t xml:space="preserve">TC-H-029</t>
        </is>
      </c>
      <c r="B222" t="inlineStr">
        <is>
          <t xml:space="preserve">関数(数値)</t>
        </is>
      </c>
      <c r="C222" t="inlineStr">
        <is>
          <t xml:space="preserve">小さな小数の合計精度</t>
        </is>
      </c>
      <c r="D222" t="inlineStr">
        <is>
          <t xml:space="preserve">境界値</t>
        </is>
      </c>
      <c r="E222" t="inlineStr">
        <is>
          <t xml:space="preserve">A1:A3=0.1</t>
        </is>
      </c>
      <c r="F222">
        <f>SUM(A1:A3)</f>
        <v>0</v>
      </c>
      <c r="G222">
        <v>0.3</v>
      </c>
      <c r="H222">
        <v>0.3</v>
      </c>
      <c r="I222" s="3" t="inlineStr">
        <is>
          <t xml:space="preserve">PASS</t>
        </is>
      </c>
    </row>
    <row r="223">
      <c r="A223" t="inlineStr">
        <is>
          <t xml:space="preserve">TC-H-030</t>
        </is>
      </c>
      <c r="B223" t="inlineStr">
        <is>
          <t xml:space="preserve">関数(日付)</t>
        </is>
      </c>
      <c r="C223" t="inlineStr">
        <is>
          <t xml:space="preserve">DATEDIF 終了日が開始日より前は#NUM!</t>
        </is>
      </c>
      <c r="D223" t="inlineStr">
        <is>
          <t xml:space="preserve">異常系</t>
        </is>
      </c>
      <c r="E223" t="inlineStr">
        <is>
          <t xml:space="preserve">-</t>
        </is>
      </c>
      <c r="F223">
        <f>DATEDIF(DATE(2026,5,1),DATE(2026,1,1),"D")</f>
        <v>-120</v>
      </c>
      <c r="G223" t="inlineStr">
        <is>
          <t xml:space="preserve">#NUM!</t>
        </is>
      </c>
      <c r="H223">
        <v>-120</v>
      </c>
      <c r="I223" s="4" t="inlineStr">
        <is>
          <t xml:space="preserve">FAIL</t>
        </is>
      </c>
    </row>
    <row r="224">
      <c r="A224" t="inlineStr">
        <is>
          <t xml:space="preserve">TC-H-031</t>
        </is>
      </c>
      <c r="B224" t="inlineStr">
        <is>
          <t xml:space="preserve">関数(日付)</t>
        </is>
      </c>
      <c r="C224" t="inlineStr">
        <is>
          <t xml:space="preserve">EOMONTH 過去方向(-1か月)</t>
        </is>
      </c>
      <c r="D224" t="inlineStr">
        <is>
          <t xml:space="preserve">境界値</t>
        </is>
      </c>
      <c r="E224" t="inlineStr">
        <is>
          <t xml:space="preserve">-</t>
        </is>
      </c>
      <c r="F224">
        <f>DAY(EOMONTH(DATE(2026,3,15),-1))</f>
        <v>28</v>
      </c>
      <c r="G224">
        <v>28</v>
      </c>
      <c r="H224">
        <v>28</v>
      </c>
      <c r="I224" s="3" t="inlineStr">
        <is>
          <t xml:space="preserve">PASS</t>
        </is>
      </c>
    </row>
    <row r="225">
      <c r="A225" t="inlineStr">
        <is>
          <t xml:space="preserve">TC-H-032</t>
        </is>
      </c>
      <c r="B225" t="inlineStr">
        <is>
          <t xml:space="preserve">関数(日付)</t>
        </is>
      </c>
      <c r="C225" t="inlineStr">
        <is>
          <t xml:space="preserve">EDATE 過去方向でも月末補正される</t>
        </is>
      </c>
      <c r="D225" t="inlineStr">
        <is>
          <t xml:space="preserve">境界値</t>
        </is>
      </c>
      <c r="E225" t="inlineStr">
        <is>
          <t xml:space="preserve">-</t>
        </is>
      </c>
      <c r="F225">
        <f>DAY(EDATE(DATE(2026,3,31),-1))</f>
        <v>3</v>
      </c>
      <c r="G225">
        <v>28</v>
      </c>
      <c r="H225">
        <v>3</v>
      </c>
      <c r="I225" s="4" t="inlineStr">
        <is>
          <t xml:space="preserve">FAIL</t>
        </is>
      </c>
    </row>
    <row r="226">
      <c r="A226" t="inlineStr">
        <is>
          <t xml:space="preserve">TC-H-033</t>
        </is>
      </c>
      <c r="B226" t="inlineStr">
        <is>
          <t xml:space="preserve">関数(日付)</t>
        </is>
      </c>
      <c r="C226" t="inlineStr">
        <is>
          <t xml:space="preserve">WEEKDAY 種類2(月曜=1)</t>
        </is>
      </c>
      <c r="D226" t="inlineStr">
        <is>
          <t xml:space="preserve">境界値</t>
        </is>
      </c>
      <c r="E226" t="inlineStr">
        <is>
          <t xml:space="preserve">2026/8/23は日曜</t>
        </is>
      </c>
      <c r="F226">
        <f>WEEKDAY(DATE(2026,8,23),2)</f>
        <v>7</v>
      </c>
      <c r="G226">
        <v>7</v>
      </c>
      <c r="H226">
        <v>7</v>
      </c>
      <c r="I226" s="3" t="inlineStr">
        <is>
          <t xml:space="preserve">PASS</t>
        </is>
      </c>
    </row>
    <row r="227">
      <c r="A227" t="inlineStr">
        <is>
          <t xml:space="preserve">TC-H-034</t>
        </is>
      </c>
      <c r="B227" t="inlineStr">
        <is>
          <t xml:space="preserve">関数(日付)</t>
        </is>
      </c>
      <c r="C227" t="inlineStr">
        <is>
          <t xml:space="preserve">日付シリアルの起点(1900/1/1=1)</t>
        </is>
      </c>
      <c r="D227" t="inlineStr">
        <is>
          <t xml:space="preserve">境界値</t>
        </is>
      </c>
      <c r="E227" t="inlineStr">
        <is>
          <t xml:space="preserve">-</t>
        </is>
      </c>
      <c r="F227">
        <f>DATE(1900,1,1)</f>
        <v>2</v>
      </c>
      <c r="G227">
        <v>1</v>
      </c>
      <c r="H227">
        <v>2</v>
      </c>
      <c r="I227" s="4" t="inlineStr">
        <is>
          <t xml:space="preserve">FAIL</t>
        </is>
      </c>
    </row>
    <row r="228">
      <c r="A228" t="inlineStr">
        <is>
          <t xml:space="preserve">TC-H-035</t>
        </is>
      </c>
      <c r="B228" t="inlineStr">
        <is>
          <t xml:space="preserve">関数(日付)</t>
        </is>
      </c>
      <c r="C228" t="inlineStr">
        <is>
          <t xml:space="preserve">時刻の境界(23:59:59)</t>
        </is>
      </c>
      <c r="D228" t="inlineStr">
        <is>
          <t xml:space="preserve">境界値</t>
        </is>
      </c>
      <c r="E228" t="inlineStr">
        <is>
          <t xml:space="preserve">-</t>
        </is>
      </c>
      <c r="F228" t="str">
        <f>TEXT(TIME(23,59,59),"hh:mm:ss")</f>
        <v>23:59:59</v>
      </c>
      <c r="G228" s="9">
        <v>0.999988425925926</v>
      </c>
      <c r="H228" s="9">
        <v>0.999988425925926</v>
      </c>
      <c r="I228" s="3" t="inlineStr">
        <is>
          <t xml:space="preserve">PASS</t>
        </is>
      </c>
    </row>
    <row r="229">
      <c r="A229" t="inlineStr">
        <is>
          <t xml:space="preserve">TC-H-036</t>
        </is>
      </c>
      <c r="B229" t="inlineStr">
        <is>
          <t xml:space="preserve">関数(日付)</t>
        </is>
      </c>
      <c r="C229" t="inlineStr">
        <is>
          <t xml:space="preserve">DATE 0日指定は前月末</t>
        </is>
      </c>
      <c r="D229" t="inlineStr">
        <is>
          <t xml:space="preserve">境界値</t>
        </is>
      </c>
      <c r="E229" t="inlineStr">
        <is>
          <t xml:space="preserve">-</t>
        </is>
      </c>
      <c r="F229">
        <f>DAY(DATE(2026,3,0))</f>
        <v>28</v>
      </c>
      <c r="G229">
        <v>28</v>
      </c>
      <c r="H229">
        <v>28</v>
      </c>
      <c r="I229" s="3" t="inlineStr">
        <is>
          <t xml:space="preserve">PASS</t>
        </is>
      </c>
    </row>
    <row r="230">
      <c r="A230" t="inlineStr">
        <is>
          <t xml:space="preserve">TC-H-037</t>
        </is>
      </c>
      <c r="B230" t="inlineStr">
        <is>
          <t xml:space="preserve">関数(統計)</t>
        </is>
      </c>
      <c r="C230" t="inlineStr">
        <is>
          <t xml:space="preserve">LARGE の順位が件数超なら#NUM!</t>
        </is>
      </c>
      <c r="D230" t="inlineStr">
        <is>
          <t xml:space="preserve">異常系</t>
        </is>
      </c>
      <c r="E230" t="inlineStr">
        <is>
          <t xml:space="preserve">A1:A2=1,2</t>
        </is>
      </c>
      <c r="F230" t="e">
        <f>LARGE(A1:A2,5)</f>
        <v>#NUM!</v>
      </c>
      <c r="G230" t="inlineStr">
        <is>
          <t xml:space="preserve">#NUM!</t>
        </is>
      </c>
      <c r="H230" t="inlineStr">
        <is>
          <t xml:space="preserve">#NUM!</t>
        </is>
      </c>
      <c r="I230" s="3" t="inlineStr">
        <is>
          <t xml:space="preserve">PASS</t>
        </is>
      </c>
    </row>
    <row r="231">
      <c r="A231" t="inlineStr">
        <is>
          <t xml:space="preserve">TC-H-038</t>
        </is>
      </c>
      <c r="B231" t="inlineStr">
        <is>
          <t xml:space="preserve">関数(統計)</t>
        </is>
      </c>
      <c r="C231" t="inlineStr">
        <is>
          <t xml:space="preserve">MEDIAN 奇数個は中央値</t>
        </is>
      </c>
      <c r="D231" t="inlineStr">
        <is>
          <t xml:space="preserve">境界値</t>
        </is>
      </c>
      <c r="E231" t="inlineStr">
        <is>
          <t xml:space="preserve">A1:A3=1,100,2</t>
        </is>
      </c>
      <c r="F231" t="e">
        <f>MEDIAN(A1:A3)</f>
        <v>#NUM!</v>
      </c>
      <c r="G231">
        <v>2</v>
      </c>
      <c r="H231">
        <v>2</v>
      </c>
      <c r="I231" s="3" t="inlineStr">
        <is>
          <t xml:space="preserve">PASS</t>
        </is>
      </c>
    </row>
    <row r="232">
      <c r="A232" t="inlineStr">
        <is>
          <t xml:space="preserve">TC-H-039</t>
        </is>
      </c>
      <c r="B232" t="inlineStr">
        <is>
          <t xml:space="preserve">関数(統計)</t>
        </is>
      </c>
      <c r="C232" t="inlineStr">
        <is>
          <t xml:space="preserve">STDEV 1件のみは#DIV/0!</t>
        </is>
      </c>
      <c r="D232" t="inlineStr">
        <is>
          <t xml:space="preserve">異常系</t>
        </is>
      </c>
      <c r="E232" t="inlineStr">
        <is>
          <t xml:space="preserve">A1=5</t>
        </is>
      </c>
      <c r="F232" t="e">
        <f>STDEV(A1:A1)</f>
        <v>#DIV/0!</v>
      </c>
      <c r="G232" t="inlineStr">
        <is>
          <t xml:space="preserve">#DIV/0!</t>
        </is>
      </c>
      <c r="H232" t="inlineStr">
        <is>
          <t xml:space="preserve">#DIV/0!</t>
        </is>
      </c>
      <c r="I232" s="3" t="inlineStr">
        <is>
          <t xml:space="preserve">PASS</t>
        </is>
      </c>
    </row>
    <row r="233">
      <c r="A233" t="inlineStr">
        <is>
          <t xml:space="preserve">TC-H-040</t>
        </is>
      </c>
      <c r="B233" t="inlineStr">
        <is>
          <t xml:space="preserve">関数(統計)</t>
        </is>
      </c>
      <c r="C233" t="inlineStr">
        <is>
          <t xml:space="preserve">VAR/VARP の関係(VAR&gt;VARP)</t>
        </is>
      </c>
      <c r="D233" t="inlineStr">
        <is>
          <t xml:space="preserve">正常系</t>
        </is>
      </c>
      <c r="E233" t="inlineStr">
        <is>
          <t xml:space="preserve">A1:A4=2,4,4,6</t>
        </is>
      </c>
      <c r="F233" t="e">
        <f>IF(VAR(A1:A4)&gt;VARP(A1:A4),"OK","NG")</f>
        <v>#DIV/0!</v>
      </c>
      <c r="G233" t="inlineStr">
        <is>
          <t xml:space="preserve">OK</t>
        </is>
      </c>
      <c r="H233" t="inlineStr">
        <is>
          <t xml:space="preserve">OK</t>
        </is>
      </c>
      <c r="I233" s="3" t="inlineStr">
        <is>
          <t xml:space="preserve">PASS</t>
        </is>
      </c>
    </row>
    <row r="234">
      <c r="A234" t="inlineStr">
        <is>
          <t xml:space="preserve">TC-H-041</t>
        </is>
      </c>
      <c r="B234" t="inlineStr">
        <is>
          <t xml:space="preserve">関数(情報)</t>
        </is>
      </c>
      <c r="C234" t="inlineStr">
        <is>
          <t xml:space="preserve">NA()と#N/Aの一致</t>
        </is>
      </c>
      <c r="D234" t="inlineStr">
        <is>
          <t xml:space="preserve">正常系</t>
        </is>
      </c>
      <c r="E234" t="inlineStr">
        <is>
          <t xml:space="preserve">-</t>
        </is>
      </c>
      <c r="F234" t="b">
        <f>ISNA(NA())</f>
        <v>1</v>
      </c>
      <c r="G234" t="b">
        <v>1</v>
      </c>
      <c r="H234" t="b">
        <v>1</v>
      </c>
      <c r="I234" s="3" t="inlineStr">
        <is>
          <t xml:space="preserve">PASS</t>
        </is>
      </c>
    </row>
    <row r="235">
      <c r="A235" t="inlineStr">
        <is>
          <t xml:space="preserve">TC-H-042</t>
        </is>
      </c>
      <c r="B235" t="inlineStr">
        <is>
          <t xml:space="preserve">関数(情報)</t>
        </is>
      </c>
      <c r="C235" t="inlineStr">
        <is>
          <t xml:space="preserve">ISODD/ISEVEN の負数</t>
        </is>
      </c>
      <c r="D235" t="inlineStr">
        <is>
          <t xml:space="preserve">境界値</t>
        </is>
      </c>
      <c r="E235" t="inlineStr">
        <is>
          <t xml:space="preserve">-</t>
        </is>
      </c>
      <c r="F235" t="str">
        <f>ISODD(-3)&amp;"/"&amp;ISEVEN(-2)</f>
        <v>TRUE/TRUE</v>
      </c>
      <c r="G235" t="inlineStr">
        <is>
          <t xml:space="preserve">TRUE/TRUE</t>
        </is>
      </c>
      <c r="H235" t="inlineStr">
        <is>
          <t xml:space="preserve">TRUE/TRUE</t>
        </is>
      </c>
      <c r="I235" s="3" t="inlineStr">
        <is>
          <t xml:space="preserve">PASS</t>
        </is>
      </c>
    </row>
    <row r="236">
      <c r="A236" t="inlineStr">
        <is>
          <t xml:space="preserve">TC-H-043</t>
        </is>
      </c>
      <c r="B236" t="inlineStr">
        <is>
          <t xml:space="preserve">関数(情報)</t>
        </is>
      </c>
      <c r="C236" t="inlineStr">
        <is>
          <t xml:space="preserve">ISTEXT は数値でFALSE</t>
        </is>
      </c>
      <c r="D236" t="inlineStr">
        <is>
          <t xml:space="preserve">同値分割</t>
        </is>
      </c>
      <c r="E236" t="inlineStr">
        <is>
          <t xml:space="preserve">A1=1</t>
        </is>
      </c>
      <c r="F236" t="b">
        <f>ISTEXT(A1)</f>
        <v>1</v>
      </c>
      <c r="G236" t="b">
        <v>0</v>
      </c>
      <c r="H236" t="b">
        <v>0</v>
      </c>
      <c r="I236" s="3" t="inlineStr">
        <is>
          <t xml:space="preserve">PASS</t>
        </is>
      </c>
    </row>
    <row r="237">
      <c r="A237" t="inlineStr">
        <is>
          <t xml:space="preserve">TC-H-044</t>
        </is>
      </c>
      <c r="B237" t="inlineStr">
        <is>
          <t xml:space="preserve">数式エンジン</t>
        </is>
      </c>
      <c r="C237" t="inlineStr">
        <is>
          <t xml:space="preserve">数値と数値文字列は等しくない(Excel仕様)</t>
        </is>
      </c>
      <c r="D237" t="inlineStr">
        <is>
          <t xml:space="preserve">エラー推測</t>
        </is>
      </c>
      <c r="E237" t="inlineStr">
        <is>
          <t xml:space="preserve">-</t>
        </is>
      </c>
      <c r="F237" t="b">
        <f>("10"=10)</f>
        <v>0</v>
      </c>
      <c r="G237" t="b">
        <v>0</v>
      </c>
      <c r="H237" t="b">
        <v>0</v>
      </c>
      <c r="I237" s="3" t="inlineStr">
        <is>
          <t xml:space="preserve">PASS</t>
        </is>
      </c>
    </row>
    <row r="238">
      <c r="A238" t="inlineStr">
        <is>
          <t xml:space="preserve">TC-H-045</t>
        </is>
      </c>
      <c r="B238" t="inlineStr">
        <is>
          <t xml:space="preserve">数式エンジン</t>
        </is>
      </c>
      <c r="C238" t="inlineStr">
        <is>
          <t xml:space="preserve">負のパーセント入力</t>
        </is>
      </c>
      <c r="D238" t="inlineStr">
        <is>
          <t xml:space="preserve">境界値</t>
        </is>
      </c>
      <c r="E238" t="inlineStr">
        <is>
          <t xml:space="preserve">-</t>
        </is>
      </c>
      <c r="F238">
        <f>-25%</f>
        <v>-0.25</v>
      </c>
      <c r="G238">
        <v>-0.25</v>
      </c>
      <c r="H238">
        <v>-0.25</v>
      </c>
      <c r="I238" s="3" t="inlineStr">
        <is>
          <t xml:space="preserve">PASS</t>
        </is>
      </c>
    </row>
    <row r="239">
      <c r="A239" t="inlineStr">
        <is>
          <t xml:space="preserve">TC-H-046</t>
        </is>
      </c>
      <c r="B239" t="inlineStr">
        <is>
          <t xml:space="preserve">表示形式</t>
        </is>
      </c>
      <c r="C239" t="inlineStr">
        <is>
          <t xml:space="preserve">負の通貨表示</t>
        </is>
      </c>
      <c r="D239" t="inlineStr">
        <is>
          <t xml:space="preserve">境界値</t>
        </is>
      </c>
      <c r="E239" t="inlineStr">
        <is>
          <t xml:space="preserve">-</t>
        </is>
      </c>
      <c r="F239" t="inlineStr">
        <is>
          <t xml:space="preserve">-1234 に ¥#,##0 を適用</t>
        </is>
      </c>
      <c r="G239" t="inlineStr">
        <is>
          <t xml:space="preserve">-¥1,234</t>
        </is>
      </c>
      <c r="H239" t="inlineStr">
        <is>
          <t xml:space="preserve">-¥1,234</t>
        </is>
      </c>
      <c r="I239" s="3" t="inlineStr">
        <is>
          <t xml:space="preserve">PASS</t>
        </is>
      </c>
    </row>
    <row r="240">
      <c r="A240" t="inlineStr">
        <is>
          <t xml:space="preserve">TC-H-047</t>
        </is>
      </c>
      <c r="B240" t="inlineStr">
        <is>
          <t xml:space="preserve">表示形式</t>
        </is>
      </c>
      <c r="C240" t="inlineStr">
        <is>
          <t xml:space="preserve">小数の丸め表示(四捨五入)</t>
        </is>
      </c>
      <c r="D240" t="inlineStr">
        <is>
          <t xml:space="preserve">境界値</t>
        </is>
      </c>
      <c r="E240" t="inlineStr">
        <is>
          <t xml:space="preserve">-</t>
        </is>
      </c>
      <c r="F240" t="inlineStr">
        <is>
          <t xml:space="preserve">2.345 に 0.00 を適用</t>
        </is>
      </c>
      <c r="G240">
        <v>2.35</v>
      </c>
      <c r="H240">
        <v>2.35</v>
      </c>
      <c r="I240" s="3" t="inlineStr">
        <is>
          <t xml:space="preserve">PASS</t>
        </is>
      </c>
    </row>
    <row r="241">
      <c r="A241" t="inlineStr">
        <is>
          <t xml:space="preserve">TC-H-048</t>
        </is>
      </c>
      <c r="B241" t="inlineStr">
        <is>
          <t xml:space="preserve">表示形式</t>
        </is>
      </c>
      <c r="C241" t="inlineStr">
        <is>
          <t xml:space="preserve">極大値のGeneral表示(指数表記の書式)</t>
        </is>
      </c>
      <c r="D241" t="inlineStr">
        <is>
          <t xml:space="preserve">境界値</t>
        </is>
      </c>
      <c r="E241" t="inlineStr">
        <is>
          <t xml:space="preserve">-</t>
        </is>
      </c>
      <c r="F241" t="inlineStr">
        <is>
          <t xml:space="preserve">1e21 を General 表示</t>
        </is>
      </c>
      <c r="G241">
        <v>1e+21</v>
      </c>
      <c r="H241">
        <v>1e+21</v>
      </c>
      <c r="I241" s="4" t="inlineStr">
        <is>
          <t xml:space="preserve">FAIL</t>
        </is>
      </c>
    </row>
    <row r="242">
      <c r="A242" t="inlineStr">
        <is>
          <t xml:space="preserve">TC-H-049</t>
        </is>
      </c>
      <c r="B242" t="inlineStr">
        <is>
          <t xml:space="preserve">表示形式</t>
        </is>
      </c>
      <c r="C242" t="inlineStr">
        <is>
          <t xml:space="preserve">エラー値を含むセルのCSV出力</t>
        </is>
      </c>
      <c r="D242" t="inlineStr">
        <is>
          <t xml:space="preserve">異常系</t>
        </is>
      </c>
      <c r="E242" t="inlineStr">
        <is>
          <t xml:space="preserve">A1==1/0</t>
        </is>
      </c>
      <c r="F242" t="inlineStr">
        <is>
          <t xml:space="preserve">CSV出力</t>
        </is>
      </c>
      <c r="G242" t="inlineStr">
        <is>
          <t xml:space="preserve">#DIV/0!</t>
        </is>
      </c>
      <c r="H242" t="inlineStr">
        <is>
          <t xml:space="preserve">#DIV/0!</t>
        </is>
      </c>
      <c r="I242" s="3" t="inlineStr">
        <is>
          <t xml:space="preserve">PASS</t>
        </is>
      </c>
    </row>
    <row r="243">
      <c r="A243" t="inlineStr">
        <is>
          <t xml:space="preserve">TC-H-050</t>
        </is>
      </c>
      <c r="B243" t="inlineStr">
        <is>
          <t xml:space="preserve">表示形式</t>
        </is>
      </c>
      <c r="C243" t="inlineStr">
        <is>
          <t xml:space="preserve">長い文字列(1万文字)の入力と保持</t>
        </is>
      </c>
      <c r="D243" t="inlineStr">
        <is>
          <t xml:space="preserve">負荷</t>
        </is>
      </c>
      <c r="E243" t="inlineStr">
        <is>
          <t xml:space="preserve">-</t>
        </is>
      </c>
      <c r="F243" t="inlineStr">
        <is>
          <t xml:space="preserve">1万文字を入力しLENを確認</t>
        </is>
      </c>
      <c r="G243">
        <v>10000</v>
      </c>
      <c r="H243">
        <v>10000</v>
      </c>
      <c r="I243" s="3" t="inlineStr">
        <is>
          <t xml:space="preserve">PASS</t>
        </is>
      </c>
    </row>
    <row r="244">
      <c r="A244" t="inlineStr">
        <is>
          <t xml:space="preserve">TC-U-001</t>
        </is>
      </c>
      <c r="B244" t="inlineStr">
        <is>
          <t xml:space="preserve">UI操作</t>
        </is>
      </c>
      <c r="C244" t="inlineStr">
        <is>
          <t xml:space="preserve">セル入力後Enterで1つ下のセルへ移動する</t>
        </is>
      </c>
      <c r="D244" t="inlineStr">
        <is>
          <t xml:space="preserve">状態遷移</t>
        </is>
      </c>
      <c r="E244" t="inlineStr">
        <is>
          <t xml:space="preserve">A1を選択</t>
        </is>
      </c>
      <c r="F244" t="inlineStr">
        <is>
          <t xml:space="preserve">A1に100を入力しEnter</t>
        </is>
      </c>
      <c r="G244" t="inlineStr">
        <is>
          <t xml:space="preserve">A2</t>
        </is>
      </c>
      <c r="H244" t="inlineStr">
        <is>
          <t xml:space="preserve">A2</t>
        </is>
      </c>
      <c r="I244" s="3" t="inlineStr">
        <is>
          <t xml:space="preserve">PASS</t>
        </is>
      </c>
    </row>
    <row r="245">
      <c r="A245" t="inlineStr">
        <is>
          <t xml:space="preserve">TC-U-002</t>
        </is>
      </c>
      <c r="B245" t="inlineStr">
        <is>
          <t xml:space="preserve">UI操作</t>
        </is>
      </c>
      <c r="C245" t="inlineStr">
        <is>
          <t xml:space="preserve">入力した値がセルに表示される</t>
        </is>
      </c>
      <c r="D245" t="inlineStr">
        <is>
          <t xml:space="preserve">正常系</t>
        </is>
      </c>
      <c r="E245" t="inlineStr">
        <is>
          <t xml:space="preserve">TC-U-001の続き</t>
        </is>
      </c>
      <c r="F245" t="inlineStr">
        <is>
          <t xml:space="preserve">A1の表示を確認</t>
        </is>
      </c>
      <c r="G245">
        <v>100</v>
      </c>
      <c r="H245">
        <v>100</v>
      </c>
      <c r="I245" s="3" t="inlineStr">
        <is>
          <t xml:space="preserve">PASS</t>
        </is>
      </c>
    </row>
    <row r="246">
      <c r="A246" t="inlineStr">
        <is>
          <t xml:space="preserve">TC-U-003</t>
        </is>
      </c>
      <c r="B246" t="inlineStr">
        <is>
          <t xml:space="preserve">UI操作</t>
        </is>
      </c>
      <c r="C246" t="inlineStr">
        <is>
          <t xml:space="preserve">数式バーに選択セルの内容が表示される</t>
        </is>
      </c>
      <c r="D246" t="inlineStr">
        <is>
          <t xml:space="preserve">状態遷移</t>
        </is>
      </c>
      <c r="E246" t="inlineStr">
        <is>
          <t xml:space="preserve">A1=100</t>
        </is>
      </c>
      <c r="F246" t="inlineStr">
        <is>
          <t xml:space="preserve">A1を選択し数式バーを確認</t>
        </is>
      </c>
      <c r="G246">
        <v>100</v>
      </c>
      <c r="H246">
        <v>100</v>
      </c>
      <c r="I246" s="3" t="inlineStr">
        <is>
          <t xml:space="preserve">PASS</t>
        </is>
      </c>
    </row>
    <row r="247">
      <c r="A247" t="inlineStr">
        <is>
          <t xml:space="preserve">TC-U-004</t>
        </is>
      </c>
      <c r="B247" t="inlineStr">
        <is>
          <t xml:space="preserve">UI操作</t>
        </is>
      </c>
      <c r="C247" t="inlineStr">
        <is>
          <t xml:space="preserve">数式セルは計算結果を表示し数式バーには数式が出る</t>
        </is>
      </c>
      <c r="D247" t="inlineStr">
        <is>
          <t xml:space="preserve">状態遷移</t>
        </is>
      </c>
      <c r="E247" t="inlineStr">
        <is>
          <t xml:space="preserve">A1=100</t>
        </is>
      </c>
      <c r="F247" t="inlineStr">
        <is>
          <t xml:space="preserve">A2に=A1*2を入力しA2を選択</t>
        </is>
      </c>
      <c r="G247" t="inlineStr">
        <is>
          <t xml:space="preserve">200|=A1*2</t>
        </is>
      </c>
      <c r="H247" t="inlineStr">
        <is>
          <t xml:space="preserve">200|=A1*2</t>
        </is>
      </c>
      <c r="I247" s="3" t="inlineStr">
        <is>
          <t xml:space="preserve">PASS</t>
        </is>
      </c>
    </row>
    <row r="248">
      <c r="A248" t="inlineStr">
        <is>
          <t xml:space="preserve">TC-U-005</t>
        </is>
      </c>
      <c r="B248" t="inlineStr">
        <is>
          <t xml:space="preserve">UI操作</t>
        </is>
      </c>
      <c r="C248" t="inlineStr">
        <is>
          <t xml:space="preserve">Ctrl+Zで直前の入力が取り消される</t>
        </is>
      </c>
      <c r="D248" t="inlineStr">
        <is>
          <t xml:space="preserve">状態遷移</t>
        </is>
      </c>
      <c r="E248" t="inlineStr">
        <is>
          <t xml:space="preserve">A2==A1*2</t>
        </is>
      </c>
      <c r="F248" t="inlineStr">
        <is>
          <t xml:space="preserve">Ctrl+Zを押す</t>
        </is>
      </c>
      <c r="I248" s="3" t="inlineStr">
        <is>
          <t xml:space="preserve">PASS</t>
        </is>
      </c>
    </row>
    <row r="249">
      <c r="A249" t="inlineStr">
        <is>
          <t xml:space="preserve">TC-U-006</t>
        </is>
      </c>
      <c r="B249" t="inlineStr">
        <is>
          <t xml:space="preserve">UI操作</t>
        </is>
      </c>
      <c r="C249" t="inlineStr">
        <is>
          <t xml:space="preserve">Ctrl+Yでやり直しできる</t>
        </is>
      </c>
      <c r="D249" t="inlineStr">
        <is>
          <t xml:space="preserve">状態遷移</t>
        </is>
      </c>
      <c r="E249" t="inlineStr">
        <is>
          <t xml:space="preserve">TC-U-005の直後</t>
        </is>
      </c>
      <c r="F249" t="inlineStr">
        <is>
          <t xml:space="preserve">Ctrl+Yを押す</t>
        </is>
      </c>
      <c r="G249">
        <v>200</v>
      </c>
      <c r="H249">
        <v>200</v>
      </c>
      <c r="I249" s="3" t="inlineStr">
        <is>
          <t xml:space="preserve">PASS</t>
        </is>
      </c>
    </row>
    <row r="250">
      <c r="A250" t="inlineStr">
        <is>
          <t xml:space="preserve">TC-U-007</t>
        </is>
      </c>
      <c r="B250" t="inlineStr">
        <is>
          <t xml:space="preserve">UI操作</t>
        </is>
      </c>
      <c r="C250" t="inlineStr">
        <is>
          <t xml:space="preserve">Ctrl+Bで太字が適用される</t>
        </is>
      </c>
      <c r="D250" t="inlineStr">
        <is>
          <t xml:space="preserve">状態遷移</t>
        </is>
      </c>
      <c r="E250" t="inlineStr">
        <is>
          <t xml:space="preserve">A1を選択</t>
        </is>
      </c>
      <c r="F250" t="inlineStr">
        <is>
          <t xml:space="preserve">Ctrl+Bを押す</t>
        </is>
      </c>
      <c r="G250" t="b">
        <v>1</v>
      </c>
      <c r="H250" t="b">
        <v>1</v>
      </c>
      <c r="I250" s="3" t="inlineStr">
        <is>
          <t xml:space="preserve">PASS</t>
        </is>
      </c>
    </row>
    <row r="251">
      <c r="A251" t="inlineStr">
        <is>
          <t xml:space="preserve">TC-U-008</t>
        </is>
      </c>
      <c r="B251" t="inlineStr">
        <is>
          <t xml:space="preserve">UI操作</t>
        </is>
      </c>
      <c r="C251" t="inlineStr">
        <is>
          <t xml:space="preserve">Ctrl+Bをもう一度押すと太字が解除される</t>
        </is>
      </c>
      <c r="D251" t="inlineStr">
        <is>
          <t xml:space="preserve">状態遷移</t>
        </is>
      </c>
      <c r="E251" t="inlineStr">
        <is>
          <t xml:space="preserve">A1が太字</t>
        </is>
      </c>
      <c r="F251" t="inlineStr">
        <is>
          <t xml:space="preserve">Ctrl+Bを押す</t>
        </is>
      </c>
      <c r="G251" t="b">
        <v>0</v>
      </c>
      <c r="H251" t="b">
        <v>0</v>
      </c>
      <c r="I251" s="3" t="inlineStr">
        <is>
          <t xml:space="preserve">PASS</t>
        </is>
      </c>
    </row>
    <row r="252">
      <c r="A252" t="inlineStr">
        <is>
          <t xml:space="preserve">TC-U-009</t>
        </is>
      </c>
      <c r="B252" t="inlineStr">
        <is>
          <t xml:space="preserve">UI操作</t>
        </is>
      </c>
      <c r="C252" t="inlineStr">
        <is>
          <t xml:space="preserve">Deleteキーで選択範囲の内容が消える</t>
        </is>
      </c>
      <c r="D252" t="inlineStr">
        <is>
          <t xml:space="preserve">正常系</t>
        </is>
      </c>
      <c r="E252" t="inlineStr">
        <is>
          <t xml:space="preserve">A1=100</t>
        </is>
      </c>
      <c r="F252" t="inlineStr">
        <is>
          <t xml:space="preserve">A1でDeleteを押す</t>
        </is>
      </c>
      <c r="I252" s="3" t="inlineStr">
        <is>
          <t xml:space="preserve">PASS</t>
        </is>
      </c>
    </row>
    <row r="253">
      <c r="A253" t="inlineStr">
        <is>
          <t xml:space="preserve">TC-U-010</t>
        </is>
      </c>
      <c r="B253" t="inlineStr">
        <is>
          <t xml:space="preserve">UI操作</t>
        </is>
      </c>
      <c r="C253" t="inlineStr">
        <is>
          <t xml:space="preserve">Ctrl+↓でデータの終端へ移動する</t>
        </is>
      </c>
      <c r="D253" t="inlineStr">
        <is>
          <t xml:space="preserve">状態遷移</t>
        </is>
      </c>
      <c r="E253" t="inlineStr">
        <is>
          <t xml:space="preserve">A1:A5に値</t>
        </is>
      </c>
      <c r="F253" t="inlineStr">
        <is>
          <t xml:space="preserve">A1でCtrl+↓</t>
        </is>
      </c>
      <c r="G253" t="inlineStr">
        <is>
          <t xml:space="preserve">A5</t>
        </is>
      </c>
      <c r="H253" t="inlineStr">
        <is>
          <t xml:space="preserve">A5</t>
        </is>
      </c>
      <c r="I253" s="3" t="inlineStr">
        <is>
          <t xml:space="preserve">PASS</t>
        </is>
      </c>
    </row>
    <row r="254">
      <c r="A254" t="inlineStr">
        <is>
          <t xml:space="preserve">TC-U-011</t>
        </is>
      </c>
      <c r="B254" t="inlineStr">
        <is>
          <t xml:space="preserve">UI操作</t>
        </is>
      </c>
      <c r="C254" t="inlineStr">
        <is>
          <t xml:space="preserve">セルの結合ができる</t>
        </is>
      </c>
      <c r="D254" t="inlineStr">
        <is>
          <t xml:space="preserve">正常系</t>
        </is>
      </c>
      <c r="E254" t="inlineStr">
        <is>
          <t xml:space="preserve">A1:B1を選択</t>
        </is>
      </c>
      <c r="F254" t="inlineStr">
        <is>
          <t xml:space="preserve">結合ボタンを押す</t>
        </is>
      </c>
      <c r="G254" t="inlineStr">
        <is>
          <t xml:space="preserve">1件(0,0)-(0,1)</t>
        </is>
      </c>
      <c r="H254" t="inlineStr">
        <is>
          <t xml:space="preserve">1件(0,0)-(0,1)</t>
        </is>
      </c>
      <c r="I254" s="3" t="inlineStr">
        <is>
          <t xml:space="preserve">PASS</t>
        </is>
      </c>
    </row>
    <row r="255">
      <c r="A255" t="inlineStr">
        <is>
          <t xml:space="preserve">TC-U-012</t>
        </is>
      </c>
      <c r="B255" t="inlineStr">
        <is>
          <t xml:space="preserve">UI操作</t>
        </is>
      </c>
      <c r="C255" t="inlineStr">
        <is>
          <t xml:space="preserve">結合を解除できる</t>
        </is>
      </c>
      <c r="D255" t="inlineStr">
        <is>
          <t xml:space="preserve">状態遷移</t>
        </is>
      </c>
      <c r="E255" t="inlineStr">
        <is>
          <t xml:space="preserve">A1:B1が結合</t>
        </is>
      </c>
      <c r="F255" t="inlineStr">
        <is>
          <t xml:space="preserve">もう一度結合ボタンを押す</t>
        </is>
      </c>
      <c r="G255" t="inlineStr">
        <is>
          <t xml:space="preserve">0件</t>
        </is>
      </c>
      <c r="H255" t="inlineStr">
        <is>
          <t xml:space="preserve">0件</t>
        </is>
      </c>
      <c r="I255" s="3" t="inlineStr">
        <is>
          <t xml:space="preserve">PASS</t>
        </is>
      </c>
    </row>
    <row r="256">
      <c r="A256" t="inlineStr">
        <is>
          <t xml:space="preserve">TC-U-013</t>
        </is>
      </c>
      <c r="B256" t="inlineStr">
        <is>
          <t xml:space="preserve">UI操作</t>
        </is>
      </c>
      <c r="C256" t="inlineStr">
        <is>
          <t xml:space="preserve">すべて置換が実行できる</t>
        </is>
      </c>
      <c r="D256" t="inlineStr">
        <is>
          <t xml:space="preserve">正常系</t>
        </is>
      </c>
      <c r="E256" t="inlineStr">
        <is>
          <t xml:space="preserve">A1:A3=りんご/みかん/りんご</t>
        </is>
      </c>
      <c r="F256" t="inlineStr">
        <is>
          <t xml:space="preserve">「りんご」を「ぶどう」に全置換</t>
        </is>
      </c>
      <c r="G256" t="inlineStr">
        <is>
          <t xml:space="preserve">ぶどう/みかん/ぶどう</t>
        </is>
      </c>
      <c r="H256" t="inlineStr">
        <is>
          <t xml:space="preserve">ぶどう/みかん/ぶどう</t>
        </is>
      </c>
      <c r="I256" s="3" t="inlineStr">
        <is>
          <t xml:space="preserve">PASS</t>
        </is>
      </c>
    </row>
    <row r="257">
      <c r="A257" t="inlineStr">
        <is>
          <t xml:space="preserve">TC-U-014</t>
        </is>
      </c>
      <c r="B257" t="inlineStr">
        <is>
          <t xml:space="preserve">UI操作</t>
        </is>
      </c>
      <c r="C257" t="inlineStr">
        <is>
          <t xml:space="preserve">昇順の並べ替えで行のまとまりが保たれる</t>
        </is>
      </c>
      <c r="D257" t="inlineStr">
        <is>
          <t xml:space="preserve">正常系</t>
        </is>
      </c>
      <c r="E257" t="inlineStr">
        <is>
          <t xml:space="preserve">A列=3,1,2 / B列=c,a,b</t>
        </is>
      </c>
      <c r="F257" t="inlineStr">
        <is>
          <t xml:space="preserve">A1:B3を選択し昇順ボタン</t>
        </is>
      </c>
      <c r="G257" t="inlineStr">
        <is>
          <t xml:space="preserve">1a/2b/3c</t>
        </is>
      </c>
      <c r="H257" t="inlineStr">
        <is>
          <t xml:space="preserve">1a/2b/3c</t>
        </is>
      </c>
      <c r="I257" s="3" t="inlineStr">
        <is>
          <t xml:space="preserve">PASS</t>
        </is>
      </c>
    </row>
    <row r="258">
      <c r="A258" t="inlineStr">
        <is>
          <t xml:space="preserve">TC-U-015</t>
        </is>
      </c>
      <c r="B258" t="inlineStr">
        <is>
          <t xml:space="preserve">データツール</t>
        </is>
      </c>
      <c r="C258" t="inlineStr">
        <is>
          <t xml:space="preserve">重複の削除で異なる行が誤って消えないこと</t>
        </is>
      </c>
      <c r="D258" t="inlineStr">
        <is>
          <t xml:space="preserve">境界値</t>
        </is>
      </c>
      <c r="E258" t="inlineStr">
        <is>
          <t xml:space="preserve">A1="ab",B1="c" / A2="a",B2="bc"</t>
        </is>
      </c>
      <c r="F258" t="inlineStr">
        <is>
          <t xml:space="preserve">A1:B2を選択し重複の削除</t>
        </is>
      </c>
      <c r="G258" t="inlineStr">
        <is>
          <t xml:space="preserve">2行とも残る</t>
        </is>
      </c>
      <c r="H258" t="inlineStr">
        <is>
          <t xml:space="preserve">2行とも残る</t>
        </is>
      </c>
      <c r="I258" s="3" t="inlineStr">
        <is>
          <t xml:space="preserve">PASS</t>
        </is>
      </c>
    </row>
    <row r="259">
      <c r="A259" t="inlineStr">
        <is>
          <t xml:space="preserve">TC-U-016</t>
        </is>
      </c>
      <c r="B259" t="inlineStr">
        <is>
          <t xml:space="preserve">データツール</t>
        </is>
      </c>
      <c r="C259" t="inlineStr">
        <is>
          <t xml:space="preserve">重複の削除で完全一致行が削除される</t>
        </is>
      </c>
      <c r="D259" t="inlineStr">
        <is>
          <t xml:space="preserve">正常系</t>
        </is>
      </c>
      <c r="E259" t="inlineStr">
        <is>
          <t xml:space="preserve">A1:B3に同一行を含む</t>
        </is>
      </c>
      <c r="F259" t="inlineStr">
        <is>
          <t xml:space="preserve">A1:B3を選択し重複の削除</t>
        </is>
      </c>
      <c r="G259" t="inlineStr">
        <is>
          <t xml:space="preserve">残2行</t>
        </is>
      </c>
      <c r="H259" t="inlineStr">
        <is>
          <t xml:space="preserve">残2行</t>
        </is>
      </c>
      <c r="I259" s="3" t="inlineStr">
        <is>
          <t xml:space="preserve">PASS</t>
        </is>
      </c>
    </row>
    <row r="260">
      <c r="A260" t="inlineStr">
        <is>
          <t xml:space="preserve">TC-U-017</t>
        </is>
      </c>
      <c r="B260" t="inlineStr">
        <is>
          <t xml:space="preserve">データツール</t>
        </is>
      </c>
      <c r="C260" t="inlineStr">
        <is>
          <t xml:space="preserve">行列の入れ替え</t>
        </is>
      </c>
      <c r="D260" t="inlineStr">
        <is>
          <t xml:space="preserve">正常系</t>
        </is>
      </c>
      <c r="E260" t="inlineStr">
        <is>
          <t xml:space="preserve">A1:B2に2x2</t>
        </is>
      </c>
      <c r="F260" t="inlineStr">
        <is>
          <t xml:space="preserve">A1:B2を選択し行列入れ替え</t>
        </is>
      </c>
      <c r="G260" t="inlineStr">
        <is>
          <t xml:space="preserve">1,3/2,4</t>
        </is>
      </c>
      <c r="H260" t="inlineStr">
        <is>
          <t xml:space="preserve">1,3/2,4</t>
        </is>
      </c>
      <c r="I260" s="3" t="inlineStr">
        <is>
          <t xml:space="preserve">PASS</t>
        </is>
      </c>
    </row>
    <row r="261">
      <c r="A261" t="inlineStr">
        <is>
          <t xml:space="preserve">TC-U-018</t>
        </is>
      </c>
      <c r="B261" t="inlineStr">
        <is>
          <t xml:space="preserve">クリップボード</t>
        </is>
      </c>
      <c r="C261" t="inlineStr">
        <is>
          <t xml:space="preserve">コピー&amp;貼り付けで数式の参照が相対的にずれる</t>
        </is>
      </c>
      <c r="D261" t="inlineStr">
        <is>
          <t xml:space="preserve">正常系</t>
        </is>
      </c>
      <c r="E261" t="inlineStr">
        <is>
          <t xml:space="preserve">A1=1,A2=2,B1==A1*10</t>
        </is>
      </c>
      <c r="F261" t="inlineStr">
        <is>
          <t xml:space="preserve">B1をコピーしB2へ貼り付け</t>
        </is>
      </c>
      <c r="G261" t="e">
        <f>A2*10|20</f>
        <v>#NAME?</v>
      </c>
      <c r="H261" t="e">
        <f>A2*10|20</f>
        <v>#NAME?</v>
      </c>
      <c r="I261" s="3" t="inlineStr">
        <is>
          <t xml:space="preserve">PASS</t>
        </is>
      </c>
    </row>
    <row r="262">
      <c r="A262" t="inlineStr">
        <is>
          <t xml:space="preserve">TC-U-019</t>
        </is>
      </c>
      <c r="B262" t="inlineStr">
        <is>
          <t xml:space="preserve">UI操作</t>
        </is>
      </c>
      <c r="C262" t="inlineStr">
        <is>
          <t xml:space="preserve">オートSUMが直上の数値範囲を合計する</t>
        </is>
      </c>
      <c r="D262" t="inlineStr">
        <is>
          <t xml:space="preserve">正常系</t>
        </is>
      </c>
      <c r="E262" t="inlineStr">
        <is>
          <t xml:space="preserve">A1:A3=1,2,3</t>
        </is>
      </c>
      <c r="F262" t="inlineStr">
        <is>
          <t xml:space="preserve">A4でオートSUM</t>
        </is>
      </c>
      <c r="G262" t="e">
        <f>SUM(A1:A3)|6</f>
        <v>#NAME?</v>
      </c>
      <c r="H262" t="e">
        <f>SUM(A1:A3)|6</f>
        <v>#NAME?</v>
      </c>
      <c r="I262" s="3" t="inlineStr">
        <is>
          <t xml:space="preserve">PASS</t>
        </is>
      </c>
    </row>
    <row r="263">
      <c r="A263" t="inlineStr">
        <is>
          <t xml:space="preserve">TC-U-020</t>
        </is>
      </c>
      <c r="B263" t="inlineStr">
        <is>
          <t xml:space="preserve">UI操作</t>
        </is>
      </c>
      <c r="C263" t="inlineStr">
        <is>
          <t xml:space="preserve">パーセントスタイルボタンで表示形式が変わる</t>
        </is>
      </c>
      <c r="D263" t="inlineStr">
        <is>
          <t xml:space="preserve">正常系</t>
        </is>
      </c>
      <c r="E263" t="inlineStr">
        <is>
          <t xml:space="preserve">A1=0.25</t>
        </is>
      </c>
      <c r="F263" t="inlineStr">
        <is>
          <t xml:space="preserve">A1でパーセントボタン</t>
        </is>
      </c>
      <c r="G263" s="2">
        <v>0.25</v>
      </c>
      <c r="H263" s="2">
        <v>0.25</v>
      </c>
      <c r="I263" s="3" t="inlineStr">
        <is>
          <t xml:space="preserve">PASS</t>
        </is>
      </c>
    </row>
    <row r="264">
      <c r="A264" t="inlineStr">
        <is>
          <t xml:space="preserve">TC-U-021</t>
        </is>
      </c>
      <c r="B264" t="inlineStr">
        <is>
          <t xml:space="preserve">UI操作</t>
        </is>
      </c>
      <c r="C264" t="inlineStr">
        <is>
          <t xml:space="preserve">桁区切りスタイルボタン</t>
        </is>
      </c>
      <c r="D264" t="inlineStr">
        <is>
          <t xml:space="preserve">正常系</t>
        </is>
      </c>
      <c r="E264" t="inlineStr">
        <is>
          <t xml:space="preserve">A1=1234567</t>
        </is>
      </c>
      <c r="F264" t="inlineStr">
        <is>
          <t xml:space="preserve">A1で桁区切りボタン</t>
        </is>
      </c>
      <c r="G264" s="7">
        <v>1234567</v>
      </c>
      <c r="H264" s="7">
        <v>1234567</v>
      </c>
      <c r="I264" s="3" t="inlineStr">
        <is>
          <t xml:space="preserve">PASS</t>
        </is>
      </c>
    </row>
    <row r="265">
      <c r="A265" t="inlineStr">
        <is>
          <t xml:space="preserve">TC-U-022</t>
        </is>
      </c>
      <c r="B265" t="inlineStr">
        <is>
          <t xml:space="preserve">UI操作</t>
        </is>
      </c>
      <c r="C265" t="inlineStr">
        <is>
          <t xml:space="preserve">小数桁を増やすボタンで桁数が増える</t>
        </is>
      </c>
      <c r="D265" t="inlineStr">
        <is>
          <t xml:space="preserve">正常系</t>
        </is>
      </c>
      <c r="E265" t="inlineStr">
        <is>
          <t xml:space="preserve">A1=1.5</t>
        </is>
      </c>
      <c r="F265" t="inlineStr">
        <is>
          <t xml:space="preserve">「.0→.00」を2回押す</t>
        </is>
      </c>
      <c r="G265">
        <v>1.5</v>
      </c>
      <c r="H265">
        <v>1.5</v>
      </c>
      <c r="I265" s="3" t="inlineStr">
        <is>
          <t xml:space="preserve">PASS</t>
        </is>
      </c>
    </row>
    <row r="266">
      <c r="A266" t="inlineStr">
        <is>
          <t xml:space="preserve">TC-U-023</t>
        </is>
      </c>
      <c r="B266" t="inlineStr">
        <is>
          <t xml:space="preserve">UI操作</t>
        </is>
      </c>
      <c r="C266" t="inlineStr">
        <is>
          <t xml:space="preserve">Alt+Enterでセル内改行が入る</t>
        </is>
      </c>
      <c r="D266" t="inlineStr">
        <is>
          <t xml:space="preserve">境界値</t>
        </is>
      </c>
      <c r="E266" t="inlineStr">
        <is>
          <t xml:space="preserve">A1を編集中</t>
        </is>
      </c>
      <c r="F266" t="inlineStr">
        <is>
          <t xml:space="preserve">編集中にAlt+Enter</t>
        </is>
      </c>
      <c r="G266" t="inlineStr">
        <is>
          <t xml:space="preserve">2行</t>
        </is>
      </c>
      <c r="H266" t="inlineStr">
        <is>
          <t xml:space="preserve">2行</t>
        </is>
      </c>
      <c r="I266" s="3" t="inlineStr">
        <is>
          <t xml:space="preserve">PASS</t>
        </is>
      </c>
    </row>
    <row r="267">
      <c r="A267" t="inlineStr">
        <is>
          <t xml:space="preserve">TC-U-024</t>
        </is>
      </c>
      <c r="B267" t="inlineStr">
        <is>
          <t xml:space="preserve">UI操作</t>
        </is>
      </c>
      <c r="C267" t="inlineStr">
        <is>
          <t xml:space="preserve">ズーム変更で表示倍率が変わる</t>
        </is>
      </c>
      <c r="D267" t="inlineStr">
        <is>
          <t xml:space="preserve">正常系</t>
        </is>
      </c>
      <c r="E267" t="inlineStr">
        <is>
          <t xml:space="preserve">既定100%</t>
        </is>
      </c>
      <c r="F267" t="inlineStr">
        <is>
          <t xml:space="preserve">ズームを150%に変更</t>
        </is>
      </c>
      <c r="G267" s="2">
        <v>1.5</v>
      </c>
      <c r="H267" s="2">
        <v>1.5</v>
      </c>
      <c r="I267" s="3" t="inlineStr">
        <is>
          <t xml:space="preserve">PASS</t>
        </is>
      </c>
    </row>
    <row r="268">
      <c r="A268" t="inlineStr">
        <is>
          <t xml:space="preserve">TC-U-025</t>
        </is>
      </c>
      <c r="B268" t="inlineStr">
        <is>
          <t xml:space="preserve">UI操作</t>
        </is>
      </c>
      <c r="C268" t="inlineStr">
        <is>
          <t xml:space="preserve">数式の表示トグルが機能する</t>
        </is>
      </c>
      <c r="D268" t="inlineStr">
        <is>
          <t xml:space="preserve">状態遷移</t>
        </is>
      </c>
      <c r="E268" t="inlineStr">
        <is>
          <t xml:space="preserve">A1==1+1</t>
        </is>
      </c>
      <c r="F268" t="inlineStr">
        <is>
          <t xml:space="preserve">数式の表示ボタン</t>
        </is>
      </c>
      <c r="G268" t="b">
        <v>1</v>
      </c>
      <c r="H268" t="b">
        <v>1</v>
      </c>
      <c r="I268" s="3" t="inlineStr">
        <is>
          <t xml:space="preserve">PASS</t>
        </is>
      </c>
    </row>
    <row r="269">
      <c r="A269" t="inlineStr">
        <is>
          <t xml:space="preserve">TC-U-026</t>
        </is>
      </c>
      <c r="B269" t="inlineStr">
        <is>
          <t xml:space="preserve">UI操作</t>
        </is>
      </c>
      <c r="C269" t="inlineStr">
        <is>
          <t xml:space="preserve">行の挿入ボタンで行が増える</t>
        </is>
      </c>
      <c r="D269" t="inlineStr">
        <is>
          <t xml:space="preserve">正常系</t>
        </is>
      </c>
      <c r="E269" t="inlineStr">
        <is>
          <t xml:space="preserve">A1=1,A2=2</t>
        </is>
      </c>
      <c r="F269" t="inlineStr">
        <is>
          <t xml:space="preserve">A2で行を挿入</t>
        </is>
      </c>
      <c r="G269" t="inlineStr">
        <is>
          <t xml:space="preserve">A3=2</t>
        </is>
      </c>
      <c r="H269" t="inlineStr">
        <is>
          <t xml:space="preserve">A3=2</t>
        </is>
      </c>
      <c r="I269" s="3" t="inlineStr">
        <is>
          <t xml:space="preserve">PASS</t>
        </is>
      </c>
    </row>
    <row r="270">
      <c r="A270" t="inlineStr">
        <is>
          <t xml:space="preserve">TC-U-027</t>
        </is>
      </c>
      <c r="B270" t="inlineStr">
        <is>
          <t xml:space="preserve">UI操作</t>
        </is>
      </c>
      <c r="C270" t="inlineStr">
        <is>
          <t xml:space="preserve">列の削除ボタンで列が消える</t>
        </is>
      </c>
      <c r="D270" t="inlineStr">
        <is>
          <t xml:space="preserve">正常系</t>
        </is>
      </c>
      <c r="E270" t="inlineStr">
        <is>
          <t xml:space="preserve">A1=1,B1=2</t>
        </is>
      </c>
      <c r="F270" t="inlineStr">
        <is>
          <t xml:space="preserve">A列を選択し列を削除</t>
        </is>
      </c>
      <c r="G270" t="inlineStr">
        <is>
          <t xml:space="preserve">B1が1に繰り上がる</t>
        </is>
      </c>
      <c r="H270" t="inlineStr">
        <is>
          <t xml:space="preserve">B1が1に繰り上がる</t>
        </is>
      </c>
      <c r="I270" s="3" t="inlineStr">
        <is>
          <t xml:space="preserve">PASS</t>
        </is>
      </c>
    </row>
    <row r="271">
      <c r="A271" t="inlineStr">
        <is>
          <t xml:space="preserve">TC-U-028</t>
        </is>
      </c>
      <c r="B271" t="inlineStr">
        <is>
          <t xml:space="preserve">UI操作</t>
        </is>
      </c>
      <c r="C271" t="inlineStr">
        <is>
          <t xml:space="preserve">名前ボックスで指定セルへジャンプする</t>
        </is>
      </c>
      <c r="D271" t="inlineStr">
        <is>
          <t xml:space="preserve">正常系</t>
        </is>
      </c>
      <c r="E271" t="inlineStr">
        <is>
          <t xml:space="preserve">-</t>
        </is>
      </c>
      <c r="F271" t="inlineStr">
        <is>
          <t xml:space="preserve">名前ボックスにC5と入力しEnter</t>
        </is>
      </c>
      <c r="G271" t="inlineStr">
        <is>
          <t xml:space="preserve">C5</t>
        </is>
      </c>
      <c r="H271" t="inlineStr">
        <is>
          <t xml:space="preserve">C5</t>
        </is>
      </c>
      <c r="I271" s="3" t="inlineStr">
        <is>
          <t xml:space="preserve">PASS</t>
        </is>
      </c>
    </row>
    <row r="272">
      <c r="A272" t="inlineStr">
        <is>
          <t xml:space="preserve">TC-U-029</t>
        </is>
      </c>
      <c r="B272" t="inlineStr">
        <is>
          <t xml:space="preserve">UI操作</t>
        </is>
      </c>
      <c r="C272" t="inlineStr">
        <is>
          <t xml:space="preserve">1万セル入力後の再描画が2秒以内</t>
        </is>
      </c>
      <c r="D272" t="inlineStr">
        <is>
          <t xml:space="preserve">負荷</t>
        </is>
      </c>
      <c r="E272" t="inlineStr">
        <is>
          <t xml:space="preserve">-</t>
        </is>
      </c>
      <c r="F272" t="inlineStr">
        <is>
          <t xml:space="preserve">100x100に値を入れて再描画</t>
        </is>
      </c>
      <c r="G272" t="inlineStr">
        <is>
          <t xml:space="preserve">2000ms以内</t>
        </is>
      </c>
      <c r="H272" t="inlineStr">
        <is>
          <t xml:space="preserve">2000ms以内(7ms)</t>
        </is>
      </c>
      <c r="I272" s="3" t="inlineStr">
        <is>
          <t xml:space="preserve">PASS</t>
        </is>
      </c>
    </row>
    <row r="273">
      <c r="A273" t="inlineStr">
        <is>
          <t xml:space="preserve">TC-U-030</t>
        </is>
      </c>
      <c r="B273" t="inlineStr">
        <is>
          <t xml:space="preserve">UI操作</t>
        </is>
      </c>
      <c r="C273" t="inlineStr">
        <is>
          <t xml:space="preserve">グラフを挿入しても描画例外が出ない</t>
        </is>
      </c>
      <c r="D273" t="inlineStr">
        <is>
          <t xml:space="preserve">正常系</t>
        </is>
      </c>
      <c r="E273" t="inlineStr">
        <is>
          <t xml:space="preserve">A1:A3にデータ</t>
        </is>
      </c>
      <c r="F273" t="inlineStr">
        <is>
          <t xml:space="preserve">グラフを挿入して再描画</t>
        </is>
      </c>
      <c r="G273" t="inlineStr">
        <is>
          <t xml:space="preserve">例外なし</t>
        </is>
      </c>
      <c r="H273" t="inlineStr">
        <is>
          <t xml:space="preserve">例外なし</t>
        </is>
      </c>
      <c r="I273" s="3" t="inlineStr">
        <is>
          <t xml:space="preserve">PASS</t>
        </is>
      </c>
    </row>
    <row r="274">
      <c r="A274" t="inlineStr">
        <is>
          <t xml:space="preserve">TC-U-031</t>
        </is>
      </c>
      <c r="B274" t="inlineStr">
        <is>
          <t xml:space="preserve">クリップボード</t>
        </is>
      </c>
      <c r="C274" t="inlineStr">
        <is>
          <t xml:space="preserve">切り取り&amp;貼り付けで元セルが空になる</t>
        </is>
      </c>
      <c r="D274" t="inlineStr">
        <is>
          <t xml:space="preserve">状態遷移</t>
        </is>
      </c>
      <c r="E274" t="inlineStr">
        <is>
          <t xml:space="preserve">A1=abc</t>
        </is>
      </c>
      <c r="F274" t="inlineStr">
        <is>
          <t xml:space="preserve">A1を切り取りC1へ貼り付け</t>
        </is>
      </c>
      <c r="G274" t="inlineStr">
        <is>
          <t xml:space="preserve">C1=abc / A1=空</t>
        </is>
      </c>
      <c r="H274" t="inlineStr">
        <is>
          <t xml:space="preserve">C1=abc / A1=空</t>
        </is>
      </c>
      <c r="I274" s="3" t="inlineStr">
        <is>
          <t xml:space="preserve">PASS</t>
        </is>
      </c>
    </row>
    <row r="275">
      <c r="A275" t="inlineStr">
        <is>
          <t xml:space="preserve">TC-U-032</t>
        </is>
      </c>
      <c r="B275" t="inlineStr">
        <is>
          <t xml:space="preserve">クリップボード</t>
        </is>
      </c>
      <c r="C275" t="inlineStr">
        <is>
          <t xml:space="preserve">外部からのTSV貼り付けが表として展開される</t>
        </is>
      </c>
      <c r="D275" t="inlineStr">
        <is>
          <t xml:space="preserve">正常系</t>
        </is>
      </c>
      <c r="E275" t="inlineStr">
        <is>
          <t xml:space="preserve">-</t>
        </is>
      </c>
      <c r="F275" t="inlineStr">
        <is>
          <t xml:space="preserve">Excel形式のTSVテキストを貼り付け</t>
        </is>
      </c>
      <c r="G275" t="inlineStr">
        <is>
          <t xml:space="preserve">A1=1 B1=2 A2=3 B2=4</t>
        </is>
      </c>
      <c r="H275" t="inlineStr">
        <is>
          <t xml:space="preserve">A1=1 B1=2 A2=3 B2=4</t>
        </is>
      </c>
      <c r="I275" s="3" t="inlineStr">
        <is>
          <t xml:space="preserve">PASS</t>
        </is>
      </c>
    </row>
    <row r="276">
      <c r="A276" t="inlineStr">
        <is>
          <t xml:space="preserve">TC-U-033</t>
        </is>
      </c>
      <c r="B276" t="inlineStr">
        <is>
          <t xml:space="preserve">クリップボード</t>
        </is>
      </c>
      <c r="C276" t="inlineStr">
        <is>
          <t xml:space="preserve">貼り付けで書式もコピーされる</t>
        </is>
      </c>
      <c r="D276" t="inlineStr">
        <is>
          <t xml:space="preserve">正常系</t>
        </is>
      </c>
      <c r="E276" t="inlineStr">
        <is>
          <t xml:space="preserve">A1が太字</t>
        </is>
      </c>
      <c r="F276" t="inlineStr">
        <is>
          <t xml:space="preserve">A1をコピーしB1へ貼り付け</t>
        </is>
      </c>
      <c r="G276" t="b">
        <v>1</v>
      </c>
      <c r="H276" t="b">
        <v>1</v>
      </c>
      <c r="I276" s="3" t="inlineStr">
        <is>
          <t xml:space="preserve">PASS</t>
        </is>
      </c>
    </row>
    <row r="277">
      <c r="A277" t="inlineStr">
        <is>
          <t xml:space="preserve">TC-U-034</t>
        </is>
      </c>
      <c r="B277" t="inlineStr">
        <is>
          <t xml:space="preserve">ファイル入出力</t>
        </is>
      </c>
      <c r="C277" t="inlineStr">
        <is>
          <t xml:space="preserve">xlsx書き出し→読み込みで値と数式が保たれる</t>
        </is>
      </c>
      <c r="D277" t="inlineStr">
        <is>
          <t xml:space="preserve">正常系</t>
        </is>
      </c>
      <c r="E277" t="inlineStr">
        <is>
          <t xml:space="preserve">A1=1,A2=2,A3==SUM(A1:A2),B1=文字列</t>
        </is>
      </c>
      <c r="F277" t="inlineStr">
        <is>
          <t xml:space="preserve">exportXlsx→importXlsx</t>
        </is>
      </c>
      <c r="G277" t="inlineStr">
        <is>
          <t xml:space="preserve">1|2|=SUM(A1:A2)|3|テスト</t>
        </is>
      </c>
      <c r="H277" t="inlineStr">
        <is>
          <t xml:space="preserve">1|2|=SUM(A1:A2)|3|テスト</t>
        </is>
      </c>
      <c r="I277" s="3" t="inlineStr">
        <is>
          <t xml:space="preserve">PASS</t>
        </is>
      </c>
    </row>
    <row r="278">
      <c r="A278" t="inlineStr">
        <is>
          <t xml:space="preserve">TC-U-035</t>
        </is>
      </c>
      <c r="B278" t="inlineStr">
        <is>
          <t xml:space="preserve">ファイル入出力</t>
        </is>
      </c>
      <c r="C278" t="inlineStr">
        <is>
          <t xml:space="preserve">xlsx往復で書式(太字・桁区切り)が保たれる</t>
        </is>
      </c>
      <c r="D278" t="inlineStr">
        <is>
          <t xml:space="preserve">正常系</t>
        </is>
      </c>
      <c r="E278" t="inlineStr">
        <is>
          <t xml:space="preserve">A1=1000に太字と桁区切り</t>
        </is>
      </c>
      <c r="F278" t="inlineStr">
        <is>
          <t xml:space="preserve">exportXlsx→importXlsx</t>
        </is>
      </c>
      <c r="G278" t="inlineStr">
        <is>
          <t xml:space="preserve">太字=true 書式あり</t>
        </is>
      </c>
      <c r="H278" t="inlineStr">
        <is>
          <t xml:space="preserve">太字=true 書式あり</t>
        </is>
      </c>
      <c r="I278" s="3" t="inlineStr">
        <is>
          <t xml:space="preserve">PASS</t>
        </is>
      </c>
    </row>
    <row r="279">
      <c r="A279" t="inlineStr">
        <is>
          <t xml:space="preserve">TC-U-036</t>
        </is>
      </c>
      <c r="B279" t="inlineStr">
        <is>
          <t xml:space="preserve">ファイル入出力</t>
        </is>
      </c>
      <c r="C279" t="inlineStr">
        <is>
          <t xml:space="preserve">xlsx往復で複数シートとシート名が保たれる</t>
        </is>
      </c>
      <c r="D279" t="inlineStr">
        <is>
          <t xml:space="preserve">正常系</t>
        </is>
      </c>
      <c r="E279" t="inlineStr">
        <is>
          <t xml:space="preserve">シート3枚</t>
        </is>
      </c>
      <c r="F279" t="inlineStr">
        <is>
          <t xml:space="preserve">exportXlsx→importXlsx</t>
        </is>
      </c>
      <c r="G279" t="inlineStr">
        <is>
          <t xml:space="preserve">3枚</t>
        </is>
      </c>
      <c r="H279" t="inlineStr">
        <is>
          <t xml:space="preserve">3枚(Sheet1,Sheet4,Sheet5)</t>
        </is>
      </c>
      <c r="I279" s="3" t="inlineStr">
        <is>
          <t xml:space="preserve">PASS</t>
        </is>
      </c>
    </row>
    <row r="280">
      <c r="A280" t="inlineStr">
        <is>
          <t xml:space="preserve">TC-U-037</t>
        </is>
      </c>
      <c r="B280" t="inlineStr">
        <is>
          <t xml:space="preserve">ファイル入出力</t>
        </is>
      </c>
      <c r="C280" t="inlineStr">
        <is>
          <t xml:space="preserve">xlsx往復で結合セルが保たれる</t>
        </is>
      </c>
      <c r="D280" t="inlineStr">
        <is>
          <t xml:space="preserve">正常系</t>
        </is>
      </c>
      <c r="E280" t="inlineStr">
        <is>
          <t xml:space="preserve">A1:B1を結合</t>
        </is>
      </c>
      <c r="F280" t="inlineStr">
        <is>
          <t xml:space="preserve">exportXlsx→importXlsx</t>
        </is>
      </c>
      <c r="G280" t="inlineStr">
        <is>
          <t xml:space="preserve">1件</t>
        </is>
      </c>
      <c r="H280" t="inlineStr">
        <is>
          <t xml:space="preserve">1件</t>
        </is>
      </c>
      <c r="I280" s="3" t="inlineStr">
        <is>
          <t xml:space="preserve">PASS</t>
        </is>
      </c>
    </row>
    <row r="281">
      <c r="A281" t="inlineStr">
        <is>
          <t xml:space="preserve">TC-U-038</t>
        </is>
      </c>
      <c r="B281" t="inlineStr">
        <is>
          <t xml:space="preserve">ファイル入出力</t>
        </is>
      </c>
      <c r="C281" t="inlineStr">
        <is>
          <t xml:space="preserve">xlsx往復で日付が日付のまま保たれる</t>
        </is>
      </c>
      <c r="D281" t="inlineStr">
        <is>
          <t xml:space="preserve">境界値</t>
        </is>
      </c>
      <c r="E281" t="inlineStr">
        <is>
          <t xml:space="preserve">A1=2026/8/23</t>
        </is>
      </c>
      <c r="F281" t="inlineStr">
        <is>
          <t xml:space="preserve">exportXlsx→importXlsx</t>
        </is>
      </c>
      <c r="G281" s="5">
        <v>46257</v>
      </c>
      <c r="H281" s="5">
        <v>46257</v>
      </c>
      <c r="I281" s="3" t="inlineStr">
        <is>
          <t xml:space="preserve">PASS</t>
        </is>
      </c>
    </row>
    <row r="282">
      <c r="A282" t="inlineStr">
        <is>
          <t xml:space="preserve">TC-U-039</t>
        </is>
      </c>
      <c r="B282" t="inlineStr">
        <is>
          <t xml:space="preserve">ファイル入出力</t>
        </is>
      </c>
      <c r="C282" t="inlineStr">
        <is>
          <t xml:space="preserve">壊れたファイルを読み込んでもアプリが落ちない</t>
        </is>
      </c>
      <c r="D282" t="inlineStr">
        <is>
          <t xml:space="preserve">異常系</t>
        </is>
      </c>
      <c r="E282" t="inlineStr">
        <is>
          <t xml:space="preserve">xlsxでないバイト列</t>
        </is>
      </c>
      <c r="F282" t="inlineStr">
        <is>
          <t xml:space="preserve">importXlsxに不正データ</t>
        </is>
      </c>
      <c r="G282" t="inlineStr">
        <is>
          <t xml:space="preserve">エラーで復帰</t>
        </is>
      </c>
      <c r="H282" t="inlineStr">
        <is>
          <t xml:space="preserve">エラーで復帰</t>
        </is>
      </c>
      <c r="I282" s="3" t="inlineStr">
        <is>
          <t xml:space="preserve">PASS</t>
        </is>
      </c>
    </row>
    <row r="283">
      <c r="A283" t="inlineStr">
        <is>
          <t xml:space="preserve">TC-U-040</t>
        </is>
      </c>
      <c r="B283" t="inlineStr">
        <is>
          <t xml:space="preserve">関数(日付)</t>
        </is>
      </c>
      <c r="C283" t="inlineStr">
        <is>
          <t xml:space="preserve">月末日にEDATEを使うと翌月末になる</t>
        </is>
      </c>
      <c r="D283" t="inlineStr">
        <is>
          <t xml:space="preserve">境界値</t>
        </is>
      </c>
      <c r="E283" t="inlineStr">
        <is>
          <t xml:space="preserve">A1=2026/1/31</t>
        </is>
      </c>
      <c r="F283" t="inlineStr">
        <is>
          <t xml:space="preserve">B1に =EDATE(A1,1)</t>
        </is>
      </c>
      <c r="G283" s="5">
        <v>46081</v>
      </c>
      <c r="H283" s="5">
        <v>46084</v>
      </c>
      <c r="I283" s="4" t="inlineStr">
        <is>
          <t xml:space="preserve">FAIL</t>
        </is>
      </c>
    </row>
    <row r="284">
      <c r="A284" t="inlineStr">
        <is>
          <t xml:space="preserve">TC-U-041</t>
        </is>
      </c>
      <c r="B284" t="inlineStr">
        <is>
          <t xml:space="preserve">関数(数値)</t>
        </is>
      </c>
      <c r="C284" t="inlineStr">
        <is>
          <t xml:space="preserve">計算不能な結果はエラー値になる</t>
        </is>
      </c>
      <c r="D284" t="inlineStr">
        <is>
          <t xml:space="preserve">異常系</t>
        </is>
      </c>
      <c r="E284" t="inlineStr">
        <is>
          <t xml:space="preserve">-</t>
        </is>
      </c>
      <c r="F284" t="inlineStr">
        <is>
          <t xml:space="preserve">A1に =POWER(-8,1/3)</t>
        </is>
      </c>
      <c r="G284" t="inlineStr">
        <is>
          <t xml:space="preserve">#NUM!</t>
        </is>
      </c>
      <c r="H284" t="inlineStr">
        <is>
          <t xml:space="preserve">NaN</t>
        </is>
      </c>
      <c r="I284" s="4" t="inlineStr">
        <is>
          <t xml:space="preserve">FAIL</t>
        </is>
      </c>
    </row>
    <row r="285">
      <c r="A285" t="inlineStr">
        <is>
          <t xml:space="preserve">TC-U-042</t>
        </is>
      </c>
      <c r="B285" t="inlineStr">
        <is>
          <t xml:space="preserve">関数(数値)</t>
        </is>
      </c>
      <c r="C285" t="inlineStr">
        <is>
          <t xml:space="preserve">計算不能な結果が後続の集計を汚染しない</t>
        </is>
      </c>
      <c r="D285" t="inlineStr">
        <is>
          <t xml:space="preserve">異常系</t>
        </is>
      </c>
      <c r="E285" t="inlineStr">
        <is>
          <t xml:space="preserve">A1==POWER(-8,1/3), A2=10</t>
        </is>
      </c>
      <c r="F285" t="inlineStr">
        <is>
          <t xml:space="preserve">A3に =SUM(A1:A2)</t>
        </is>
      </c>
      <c r="G285">
        <v>10</v>
      </c>
      <c r="H285" t="inlineStr">
        <is>
          <t xml:space="preserve">NaN</t>
        </is>
      </c>
      <c r="I285" s="4" t="inlineStr">
        <is>
          <t xml:space="preserve">FAIL</t>
        </is>
      </c>
    </row>
    <row r="286">
      <c r="A286" t="inlineStr">
        <is>
          <t xml:space="preserve">TC-U-043</t>
        </is>
      </c>
      <c r="B286" t="inlineStr">
        <is>
          <t xml:space="preserve">関数(日付)</t>
        </is>
      </c>
      <c r="C286" t="inlineStr">
        <is>
          <t xml:space="preserve">DATEDIFで開始日&gt;終了日はエラーになる</t>
        </is>
      </c>
      <c r="D286" t="inlineStr">
        <is>
          <t xml:space="preserve">異常系</t>
        </is>
      </c>
      <c r="E286" t="inlineStr">
        <is>
          <t xml:space="preserve">-</t>
        </is>
      </c>
      <c r="F286">
        <f>DATEDIF(2026/5/1,2026/1/1,"D")</f>
        <v>1621</v>
      </c>
      <c r="G286" t="inlineStr">
        <is>
          <t xml:space="preserve">#NUM!</t>
        </is>
      </c>
      <c r="H286">
        <v>-120</v>
      </c>
      <c r="I286" s="4" t="inlineStr">
        <is>
          <t xml:space="preserve">FAIL</t>
        </is>
      </c>
    </row>
    <row r="287">
      <c r="A287" t="inlineStr">
        <is>
          <t xml:space="preserve">TC-U-044</t>
        </is>
      </c>
      <c r="B287" t="inlineStr">
        <is>
          <t xml:space="preserve">関数(条件集計)</t>
        </is>
      </c>
      <c r="C287" t="inlineStr">
        <is>
          <t xml:space="preserve">SUMIFSで範囲サイズが違う場合はエラーになる</t>
        </is>
      </c>
      <c r="D287" t="inlineStr">
        <is>
          <t xml:space="preserve">異常系</t>
        </is>
      </c>
      <c r="E287" t="inlineStr">
        <is>
          <t xml:space="preserve">A1:A4に条件, C1:C2に合計範囲</t>
        </is>
      </c>
      <c r="F287">
        <f>SUMIFS(C1:C2,A1:A4,"x")</f>
        <v>0</v>
      </c>
      <c r="G287" t="inlineStr">
        <is>
          <t xml:space="preserve">#VALUE!</t>
        </is>
      </c>
      <c r="H287">
        <v>2</v>
      </c>
      <c r="I287" s="4" t="inlineStr">
        <is>
          <t xml:space="preserve">FAIL</t>
        </is>
      </c>
    </row>
    <row r="288">
      <c r="A288" t="inlineStr">
        <is>
          <t xml:space="preserve">TC-U-045</t>
        </is>
      </c>
      <c r="B288" t="inlineStr">
        <is>
          <t xml:space="preserve">UI操作</t>
        </is>
      </c>
      <c r="C288" t="inlineStr">
        <is>
          <t xml:space="preserve">小数桁を増やすボタンを1回押すと表示が変わる</t>
        </is>
      </c>
      <c r="D288" t="inlineStr">
        <is>
          <t xml:space="preserve">境界値</t>
        </is>
      </c>
      <c r="E288" t="inlineStr">
        <is>
          <t xml:space="preserve">A1=1.5(標準書式)</t>
        </is>
      </c>
      <c r="F288" t="inlineStr">
        <is>
          <t xml:space="preserve">「.0→.00」を1回押す</t>
        </is>
      </c>
      <c r="G288">
        <v>1.5</v>
      </c>
      <c r="H288">
        <v>1.5</v>
      </c>
      <c r="I288" s="4" t="inlineStr">
        <is>
          <t xml:space="preserve">FAIL</t>
        </is>
      </c>
    </row>
    <row r="289">
      <c r="A289" t="inlineStr">
        <is>
          <t xml:space="preserve">TC-U-046</t>
        </is>
      </c>
      <c r="B289" t="inlineStr">
        <is>
          <t xml:space="preserve">UI操作</t>
        </is>
      </c>
      <c r="C289" t="inlineStr">
        <is>
          <t xml:space="preserve">小数桁を減らすボタンで桁数が減る</t>
        </is>
      </c>
      <c r="D289" t="inlineStr">
        <is>
          <t xml:space="preserve">正常系</t>
        </is>
      </c>
      <c r="E289" t="inlineStr">
        <is>
          <t xml:space="preserve">A1=1.50(0.00書式)</t>
        </is>
      </c>
      <c r="F289" t="inlineStr">
        <is>
          <t xml:space="preserve">「.00→.0」を押す</t>
        </is>
      </c>
      <c r="G289">
        <v>1.5</v>
      </c>
      <c r="H289">
        <v>1.5</v>
      </c>
      <c r="I289" s="3" t="inlineStr">
        <is>
          <t xml:space="preserve">PASS</t>
        </is>
      </c>
    </row>
    <row r="290">
      <c r="A290" t="inlineStr">
        <is>
          <t xml:space="preserve">TC-U-047</t>
        </is>
      </c>
      <c r="B290" t="inlineStr">
        <is>
          <t xml:space="preserve">ファイル入出力</t>
        </is>
      </c>
      <c r="C290" t="inlineStr">
        <is>
          <t xml:space="preserve">編集内容が自動保存領域に退避される</t>
        </is>
      </c>
      <c r="D290" t="inlineStr">
        <is>
          <t xml:space="preserve">状態遷移</t>
        </is>
      </c>
      <c r="E290" t="inlineStr">
        <is>
          <t xml:space="preserve">A1に値を入力</t>
        </is>
      </c>
      <c r="F290" t="inlineStr">
        <is>
          <t xml:space="preserve">localStorageの自動保存を確認</t>
        </is>
      </c>
      <c r="G290" t="inlineStr">
        <is>
          <t xml:space="preserve">保存あり</t>
        </is>
      </c>
      <c r="H290" t="inlineStr">
        <is>
          <t xml:space="preserve">保存あり</t>
        </is>
      </c>
      <c r="I290" s="3" t="inlineStr">
        <is>
          <t xml:space="preserve">PASS</t>
        </is>
      </c>
    </row>
    <row r="291">
      <c r="A291" t="inlineStr">
        <is>
          <t xml:space="preserve">TC-U-048</t>
        </is>
      </c>
      <c r="B291" t="inlineStr">
        <is>
          <t xml:space="preserve">UI操作</t>
        </is>
      </c>
      <c r="C291" t="inlineStr">
        <is>
          <t xml:space="preserve">行削除をUndoすると値と数式が戻る</t>
        </is>
      </c>
      <c r="D291" t="inlineStr">
        <is>
          <t xml:space="preserve">状態遷移</t>
        </is>
      </c>
      <c r="E291" t="inlineStr">
        <is>
          <t xml:space="preserve">A1=1,A2=2,B1==SUM(A1:A2)</t>
        </is>
      </c>
      <c r="F291" t="inlineStr">
        <is>
          <t xml:space="preserve">2行目を削除しCtrl+Z</t>
        </is>
      </c>
      <c r="G291">
        <v>3</v>
      </c>
      <c r="H291">
        <v>3</v>
      </c>
      <c r="I291" s="3" t="inlineStr">
        <is>
          <t xml:space="preserve">PASS</t>
        </is>
      </c>
    </row>
    <row r="292">
      <c r="A292" t="inlineStr">
        <is>
          <t xml:space="preserve">TC-U-049</t>
        </is>
      </c>
      <c r="B292" t="inlineStr">
        <is>
          <t xml:space="preserve">UI操作</t>
        </is>
      </c>
      <c r="C292" t="inlineStr">
        <is>
          <t xml:space="preserve">ウィンドウ枠の固定が設定できる</t>
        </is>
      </c>
      <c r="D292" t="inlineStr">
        <is>
          <t xml:space="preserve">正常系</t>
        </is>
      </c>
      <c r="E292" t="inlineStr">
        <is>
          <t xml:space="preserve">B2を選択</t>
        </is>
      </c>
      <c r="F292" t="inlineStr">
        <is>
          <t xml:space="preserve">ウィンドウ枠の固定を実行</t>
        </is>
      </c>
      <c r="G292" t="inlineStr">
        <is>
          <t xml:space="preserve">r1c1</t>
        </is>
      </c>
      <c r="H292" t="inlineStr">
        <is>
          <t xml:space="preserve">r1c1</t>
        </is>
      </c>
      <c r="I292" s="3" t="inlineStr">
        <is>
          <t xml:space="preserve">PASS</t>
        </is>
      </c>
    </row>
    <row r="293">
      <c r="A293" t="inlineStr">
        <is>
          <t xml:space="preserve">TC-U-050</t>
        </is>
      </c>
      <c r="B293" t="inlineStr">
        <is>
          <t xml:space="preserve">ファイル入出力</t>
        </is>
      </c>
      <c r="C293" t="inlineStr">
        <is>
          <t xml:space="preserve">HTML出力に計算結果が含まれる</t>
        </is>
      </c>
      <c r="D293" t="inlineStr">
        <is>
          <t xml:space="preserve">正常系</t>
        </is>
      </c>
      <c r="E293" t="inlineStr">
        <is>
          <t xml:space="preserve">A1=1,A2=2,A3==SUM(A1:A2)</t>
        </is>
      </c>
      <c r="F293" t="inlineStr">
        <is>
          <t xml:space="preserve">HTML出力を生成</t>
        </is>
      </c>
      <c r="G293" t="inlineStr">
        <is>
          <t xml:space="preserve">3を含む</t>
        </is>
      </c>
      <c r="H293" t="inlineStr">
        <is>
          <t xml:space="preserve">3を含む</t>
        </is>
      </c>
      <c r="I293" s="3" t="inlineStr">
        <is>
          <t xml:space="preserve">PASS</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
  <sheetViews>
    <sheetView workbookViewId="0">
      <pane xSplit="0" ySplit="1" topLeftCell="A2" activePane="bottomRight" state="frozen"/>
    </sheetView>
  </sheetViews>
  <sheetFormatPr defaultRowHeight="16.5"/>
  <cols>
    <col min="1" max="1" width="13" customWidth="1"/>
    <col min="2" max="2" width="53.57" customWidth="1"/>
    <col min="3" max="3" width="26.43" customWidth="1"/>
    <col min="4" max="4" width="10.71" customWidth="1"/>
    <col min="5" max="5" width="9.29" customWidth="1"/>
    <col min="6" max="6" width="16.43" customWidth="1"/>
    <col min="7" max="7" width="59.29" customWidth="1"/>
    <col min="8" max="8" width="36.43" customWidth="1"/>
    <col min="9" max="9" width="33.57" customWidth="1"/>
    <col min="10" max="10" width="59.29" customWidth="1"/>
    <col min="11" max="11" width="65" customWidth="1"/>
    <col min="12" max="12" width="53.57" customWidth="1"/>
    <col min="13" max="13" width="26.43" customWidth="1"/>
  </cols>
  <sheetData>
    <row r="1">
      <c r="A1" s="1" t="inlineStr">
        <is>
          <t xml:space="preserve">不具合ID</t>
        </is>
      </c>
      <c r="B1" s="1" t="inlineStr">
        <is>
          <t xml:space="preserve">概要</t>
        </is>
      </c>
      <c r="C1" s="1" t="inlineStr">
        <is>
          <t xml:space="preserve">分類</t>
        </is>
      </c>
      <c r="D1" s="1" t="inlineStr">
        <is>
          <t xml:space="preserve">重要度</t>
        </is>
      </c>
      <c r="E1" s="1" t="inlineStr">
        <is>
          <t xml:space="preserve">優先度</t>
        </is>
      </c>
      <c r="F1" s="1" t="inlineStr">
        <is>
          <t xml:space="preserve">状態</t>
        </is>
      </c>
      <c r="G1" s="1" t="inlineStr">
        <is>
          <t xml:space="preserve">再現手順</t>
        </is>
      </c>
      <c r="H1" s="1" t="inlineStr">
        <is>
          <t xml:space="preserve">期待結果</t>
        </is>
      </c>
      <c r="I1" s="1" t="inlineStr">
        <is>
          <t xml:space="preserve">実際の結果</t>
        </is>
      </c>
      <c r="J1" s="1" t="inlineStr">
        <is>
          <t xml:space="preserve">影響</t>
        </is>
      </c>
      <c r="K1" s="1" t="inlineStr">
        <is>
          <t xml:space="preserve">原因調査</t>
        </is>
      </c>
      <c r="L1" s="1" t="inlineStr">
        <is>
          <t xml:space="preserve">修正方針</t>
        </is>
      </c>
      <c r="M1" s="1" t="inlineStr">
        <is>
          <t xml:space="preserve">検出ケース</t>
        </is>
      </c>
    </row>
    <row r="2">
      <c r="A2" t="inlineStr">
        <is>
          <t xml:space="preserve">BUG-001</t>
        </is>
      </c>
      <c r="B2" t="inlineStr">
        <is>
          <t xml:space="preserve">月末日に EDATE を使うと翌月末ではなく翌々月の日付が返る</t>
        </is>
      </c>
      <c r="C2" t="inlineStr">
        <is>
          <t xml:space="preserve">数式エンジン / 日付関数</t>
        </is>
      </c>
      <c r="D2" t="inlineStr">
        <is>
          <t xml:space="preserve">中</t>
        </is>
      </c>
      <c r="E2" t="inlineStr">
        <is>
          <t xml:space="preserve">高</t>
        </is>
      </c>
      <c r="F2" t="inlineStr">
        <is>
          <t xml:space="preserve">起票済(未修正)</t>
        </is>
      </c>
      <c r="G2" t="inlineStr">
        <is>
          <t xml:space="preserve">1. A1 に 2026/1/31 を入力する / 2. B1 に =EDATE(A1,1) を入力する / 3. B1 の表示形式を yyyy/mm/dd にして値を確認する</t>
        </is>
      </c>
      <c r="H2" t="inlineStr">
        <is>
          <t xml:space="preserve">2026/02/28（Excel は月末を超える場合その月の末日に丸める）</t>
        </is>
      </c>
      <c r="I2" t="inlineStr">
        <is>
          <t xml:space="preserve">2026/03/03（2月31日として繰り上がった結果が返る）</t>
        </is>
      </c>
      <c r="J2" t="inlineStr">
        <is>
          <t xml:space="preserve">月次の請求日・支払期日・契約更新日の算出が最大3日ずれる。エラー表示にならず一見正しい日付に見えるため、誤りに気付けないまま集計に混入する。1月31日・3月31日など月末起点の計算で必ず再現する。</t>
        </is>
      </c>
      <c r="K2" t="inlineStr">
        <is>
          <t xml:space="preserve">js/formula.js:510 の EDATE が d.setMonth(d.getMonth() + n) だけで実装されており、JavaScript の Date が繰り上げる仕様（2/31 → 3/3）をそのまま返している。同ファイル 511 行の EOMONTH は setMonth(m + n + 1, 0) で月末を正しく求めており、実装方針が揃っていない。</t>
        </is>
      </c>
      <c r="L2" t="inlineStr">
        <is>
          <t xml:space="preserve">月加算後に「元の日 &gt; 加算後月の末日」であれば末日へ丸める。EOMONTH と同じ手法で加算後月の末日を求め、Math.min(元の日, 末日) を setDate する。</t>
        </is>
      </c>
      <c r="M2" t="inlineStr">
        <is>
          <t xml:space="preserve">TC-B-079 / TC-H-032 / TC-U-040</t>
        </is>
      </c>
    </row>
    <row r="3">
      <c r="A3" t="inlineStr">
        <is>
          <t xml:space="preserve">BUG-002</t>
        </is>
      </c>
      <c r="B3" t="inlineStr">
        <is>
          <t xml:space="preserve">計算不能な数式の結果が NaN のままセルに表示され、集計にも伝播する</t>
        </is>
      </c>
      <c r="C3" t="inlineStr">
        <is>
          <t xml:space="preserve">数式エンジン / 数値関数</t>
        </is>
      </c>
      <c r="D3" t="inlineStr">
        <is>
          <t xml:space="preserve">中</t>
        </is>
      </c>
      <c r="E3" t="inlineStr">
        <is>
          <t xml:space="preserve">高</t>
        </is>
      </c>
      <c r="F3" t="inlineStr">
        <is>
          <t xml:space="preserve">起票済(未修正)</t>
        </is>
      </c>
      <c r="G3" t="inlineStr">
        <is>
          <t xml:space="preserve">1. A1 に =POWER(-8,1/3) を入力する / 2. A2 に 10 を入力する / 3. A3 に =SUM(A1:A2) を入力する</t>
        </is>
      </c>
      <c r="H3" t="inlineStr">
        <is>
          <t xml:space="preserve">A1 は #NUM!、A3 は 10（Excel はエラー値を返し、SUM はエラーを伝播する）</t>
        </is>
      </c>
      <c r="I3" t="inlineStr">
        <is>
          <t xml:space="preserve">A1 に NaN と表示され、A3 も NaN になる</t>
        </is>
      </c>
      <c r="J3" t="inlineStr">
        <is>
          <t xml:space="preserve">エラー値ではない「NaN」という文字が表として出力され、CSV/xlsx にもそのまま書き出される。IFERROR で捕捉できないため、利用者側での回避もできない。1セルの NaN が SUM を通じて表全体の合計を無効化する。</t>
        </is>
      </c>
      <c r="K3" t="inlineStr">
        <is>
          <t xml:space="preserve">2箇所の複合。(1) js/formula.js:319 の POWER が Math.pow の結果を検証していない（同 318 行の SQRT は負数を #NUM! にしており不統一）。(2) js/util.js:224 の generalFormat が !isFinite(n) のとき String(n) をそのまま返すため、NaN/Infinity が表示値として素通りする。</t>
        </is>
      </c>
      <c r="L3" t="inlineStr">
        <is>
          <t xml:space="preserve">POWER 側で isFinite 判定を行い #NUM! を返す。あわせて generalFormat（または再計算の出口）で NaN/Infinity を検出しエラー値へ変換する二重の防御を入れる。後者を入れると他の関数由来の NaN も一括で塞げる。</t>
        </is>
      </c>
      <c r="M3" t="inlineStr">
        <is>
          <t xml:space="preserve">TC-H-024 / TC-U-041 / TC-U-042</t>
        </is>
      </c>
    </row>
    <row r="4">
      <c r="A4" t="inlineStr">
        <is>
          <t xml:space="preserve">BUG-003</t>
        </is>
      </c>
      <c r="B4" t="inlineStr">
        <is>
          <t xml:space="preserve">同名シートを含むファイルを読み込むと名前が重複し、シート間参照が別シートを指す</t>
        </is>
      </c>
      <c r="C4" t="inlineStr">
        <is>
          <t xml:space="preserve">ファイル入出力 / データモデル</t>
        </is>
      </c>
      <c r="D4" t="inlineStr">
        <is>
          <t xml:space="preserve">中</t>
        </is>
      </c>
      <c r="E4" t="inlineStr">
        <is>
          <t xml:space="preserve">中</t>
        </is>
      </c>
      <c r="F4" t="inlineStr">
        <is>
          <t xml:space="preserve">起票済(未修正)</t>
        </is>
      </c>
      <c r="G4" t="inlineStr">
        <is>
          <t xml:space="preserve">1. 同じシート名（例:「データ」）を2枚持つ .exl / .json ファイルを用意する / 2. 3枚目のシートに ='データ'!A1 を書いておく / 3. Exitcel でそのファイルを開く</t>
        </is>
      </c>
      <c r="H4" t="inlineStr">
        <is>
          <t xml:space="preserve">読み込み時に2枚目が「データ(2)」等へ一意化され、参照先が一意に定まる</t>
        </is>
      </c>
      <c r="I4" t="inlineStr">
        <is>
          <t xml:space="preserve">シート名が重複したまま読み込まれ、参照は常に先頭の「データ」を指す。2枚目のデータは数式から参照できない</t>
        </is>
      </c>
      <c r="J4" t="inlineStr">
        <is>
          <t xml:space="preserve">外部ツールが出力したファイルや手作業で編集したファイルを開いた際、計算結果が静かに誤る。画面上はシートタブが同名で並ぶため原因の特定が難しい。</t>
        </is>
      </c>
      <c r="K4" t="inlineStr">
        <is>
          <t xml:space="preserve">js/model.js:361 の fromJSON がファイル中のシート名をそのまま Sheet に設定しており、重複チェックがない。同ファイル 143 行に Workbook.uniqueName() が用意されているが、この経路では使われていない（シートのコピー処理では使用されている）。UI からのシート名変更（js/app.js:623 renameSheet）は重複を拒否しており、入力経路によって整合性の担保にばらつきがある。</t>
        </is>
      </c>
      <c r="L4" t="inlineStr">
        <is>
          <t xml:space="preserve">fromJSON / importXlsx のシート生成時に uniqueName() を通す。重複を検出した場合はトーストで利用者に通知する。</t>
        </is>
      </c>
      <c r="M4" t="inlineStr">
        <is>
          <t xml:space="preserve">TC-D-011</t>
        </is>
      </c>
    </row>
    <row r="5">
      <c r="A5" t="inlineStr">
        <is>
          <t xml:space="preserve">BUG-004</t>
        </is>
      </c>
      <c r="B5" t="inlineStr">
        <is>
          <t xml:space="preserve">DATEDIF で開始日が終了日より後でもエラーにならず負の日数を返す</t>
        </is>
      </c>
      <c r="C5" t="inlineStr">
        <is>
          <t xml:space="preserve">数式エンジン / 日付関数</t>
        </is>
      </c>
      <c r="D5" t="inlineStr">
        <is>
          <t xml:space="preserve">軽微</t>
        </is>
      </c>
      <c r="E5" t="inlineStr">
        <is>
          <t xml:space="preserve">中</t>
        </is>
      </c>
      <c r="F5" t="inlineStr">
        <is>
          <t xml:space="preserve">起票済(未修正)</t>
        </is>
      </c>
      <c r="G5" t="inlineStr">
        <is>
          <t xml:space="preserve">1. A1 に =DATEDIF(DATE(2026,5,1),DATE(2026,1,1),"D") を入力する</t>
        </is>
      </c>
      <c r="H5" t="inlineStr">
        <is>
          <t xml:space="preserve">#NUM!（Excel は開始日 &gt; 終了日でエラー）</t>
        </is>
      </c>
      <c r="I5">
        <v>-120</v>
      </c>
      <c r="J5" t="inlineStr">
        <is>
          <t xml:space="preserve">引数の順序を取り違えた誤りが表面化せず、勤続年数・在庫日数などの集計に負値が混入する。合計すると打ち消し合うため発見が遅れる。</t>
        </is>
      </c>
      <c r="K5" t="inlineStr">
        <is>
          <t xml:space="preserve">js/formula.js:512-517 の DATEDIF が単位ごとの差分計算のみを行い、開始日 &gt; 終了日の事前チェックを持たない。</t>
        </is>
      </c>
      <c r="L5" t="inlineStr">
        <is>
          <t xml:space="preserve">計算前に toNum(a[0]) &gt; toNum(a[1]) を判定し #NUM! を返す。</t>
        </is>
      </c>
      <c r="M5" t="inlineStr">
        <is>
          <t xml:space="preserve">TC-H-030 / TC-U-043</t>
        </is>
      </c>
    </row>
    <row r="6">
      <c r="A6" t="inlineStr">
        <is>
          <t xml:space="preserve">BUG-005</t>
        </is>
      </c>
      <c r="B6" t="inlineStr">
        <is>
          <t xml:space="preserve">SUMIFS で条件範囲と合計範囲のサイズが違ってもエラーにならず誤った合計を返す</t>
        </is>
      </c>
      <c r="C6" t="inlineStr">
        <is>
          <t xml:space="preserve">数式エンジン / 条件集計</t>
        </is>
      </c>
      <c r="D6" t="inlineStr">
        <is>
          <t xml:space="preserve">軽微</t>
        </is>
      </c>
      <c r="E6" t="inlineStr">
        <is>
          <t xml:space="preserve">中</t>
        </is>
      </c>
      <c r="F6" t="inlineStr">
        <is>
          <t xml:space="preserve">起票済(未修正)</t>
        </is>
      </c>
      <c r="G6" t="inlineStr">
        <is>
          <t xml:space="preserve">1. A1:A4 に条件用の値 x を4件入力する / 2. C1:C2 に 1 を2件入力する / 3. E1 に =SUMIFS(C1:C2,A1:A4,"x") を入力する</t>
        </is>
      </c>
      <c r="H6" t="inlineStr">
        <is>
          <t xml:space="preserve">#VALUE!（Excel は範囲サイズ不一致をエラーにする）</t>
        </is>
      </c>
      <c r="I6" t="inlineStr">
        <is>
          <t xml:space="preserve">2（合計範囲の要素数だけを走査した結果が返る）</t>
        </is>
      </c>
      <c r="J6" t="inlineStr">
        <is>
          <t xml:space="preserve">行を追加した際に条件範囲だけ広げてしまうミスが検出されず、集計値が過小になる。数値が返るため気付きにくい。</t>
        </is>
      </c>
      <c r="K6" t="inlineStr">
        <is>
          <t xml:space="preserve">js/formula.js:402 の SUMIFS が合計範囲の長さでループしており、条件範囲との長さ比較を行っていない。COUNTIFS も同様に先頭ペアの長さを基準にしている。</t>
        </is>
      </c>
      <c r="L6" t="inlineStr">
        <is>
          <t xml:space="preserve">各範囲の要素数を比較し、不一致なら #VALUE! を返す。COUNTIFS / AVERAGEIF にも同じ検査を入れる。</t>
        </is>
      </c>
      <c r="M6" t="inlineStr">
        <is>
          <t xml:space="preserve">TC-H-004 / TC-U-044</t>
        </is>
      </c>
    </row>
    <row r="7">
      <c r="A7" t="inlineStr">
        <is>
          <t xml:space="preserve">BUG-006</t>
        </is>
      </c>
      <c r="B7" t="inlineStr">
        <is>
          <t xml:space="preserve">MID / LEFT に 0 や負の文字数を渡してもエラーにならない</t>
        </is>
      </c>
      <c r="C7" t="inlineStr">
        <is>
          <t xml:space="preserve">数式エンジン / 文字列関数</t>
        </is>
      </c>
      <c r="D7" t="inlineStr">
        <is>
          <t xml:space="preserve">軽微</t>
        </is>
      </c>
      <c r="E7" t="inlineStr">
        <is>
          <t xml:space="preserve">低</t>
        </is>
      </c>
      <c r="F7" t="inlineStr">
        <is>
          <t xml:space="preserve">起票済(未修正)</t>
        </is>
      </c>
      <c r="G7" t="inlineStr">
        <is>
          <t xml:space="preserve">1. A1 に =MID("abcdef",0,2) を入力する / 2. A2 に =LEFT("abc",-1) を入力する</t>
        </is>
      </c>
      <c r="H7" t="inlineStr">
        <is>
          <t xml:space="preserve">いずれも #VALUE!（Excel は開始位置 &lt; 1、文字数 &lt; 0 をエラーにする）</t>
        </is>
      </c>
      <c r="I7" t="inlineStr">
        <is>
          <t xml:space="preserve">A1 は "ab"、A2 は空文字</t>
        </is>
      </c>
      <c r="J7" t="inlineStr">
        <is>
          <t xml:space="preserve">開始位置を 0 起算で書いた数式（他システムからの移植時に起きやすい）が、エラーにならず1文字ずれた結果を返す。切り出し結果をキーに突合すると不一致の原因になる。</t>
        </is>
      </c>
      <c r="K7" t="inlineStr">
        <is>
          <t xml:space="preserve">js/formula.js:472 の MID が Math.max(0, st - 1) で負値をクランプし、470 行の LEFT も Math.max(0, n) でクランプしているため、不正な引数が握りつぶされる。</t>
        </is>
      </c>
      <c r="L7" t="inlineStr">
        <is>
          <t xml:space="preserve">クランプの前に st &lt; 1 / n &lt; 0 を判定して #VALUE! を返す。RIGHT / REPLACE も同じ観点で見直す。</t>
        </is>
      </c>
      <c r="M7" t="inlineStr">
        <is>
          <t xml:space="preserve">TC-B-044 / TC-H-014</t>
        </is>
      </c>
    </row>
    <row r="8">
      <c r="A8" t="inlineStr">
        <is>
          <t xml:space="preserve">BUG-007</t>
        </is>
      </c>
      <c r="B8" t="inlineStr">
        <is>
          <t xml:space="preserve">「小数点以下の表示桁数を増やす」ボタンが標準書式のセルで1回目に効かない</t>
        </is>
      </c>
      <c r="C8" t="inlineStr">
        <is>
          <t xml:space="preserve">UI / 表示形式</t>
        </is>
      </c>
      <c r="D8" t="inlineStr">
        <is>
          <t xml:space="preserve">軽微</t>
        </is>
      </c>
      <c r="E8" t="inlineStr">
        <is>
          <t xml:space="preserve">中</t>
        </is>
      </c>
      <c r="F8" t="inlineStr">
        <is>
          <t xml:space="preserve">起票済(未修正)</t>
        </is>
      </c>
      <c r="G8" t="inlineStr">
        <is>
          <t xml:space="preserve">1. A1 に 1.5 を入力する（表示形式は標準のまま） / 2. A1 を選択して「.0→.00」ボタンを1回押す</t>
        </is>
      </c>
      <c r="H8" t="inlineStr">
        <is>
          <t xml:space="preserve">1.50（Excel は現在の表示桁数 +1 桁になる）</t>
        </is>
      </c>
      <c r="I8" t="inlineStr">
        <is>
          <t xml:space="preserve">1.5 のまま変化しない。2回押して初めて 1.50 になる</t>
        </is>
      </c>
      <c r="J8" t="inlineStr">
        <is>
          <t xml:space="preserve">操作に対する反応がないため、ボタンの故障や選択ミスと誤解される。桁を揃える作業で毎回1回分の空押しが発生する。</t>
        </is>
      </c>
      <c r="K8" t="inlineStr">
        <is>
          <t xml:space="preserve">js/app.js:329 stepDecimals が、標準書式(General)を一律 0 桁とみなして書式を組み立てている。1.5 は標準書式でも1桁表示されているため、+1 しても 0.0（=1.5）となり見た目が変わらない。</t>
        </is>
      </c>
      <c r="L8" t="inlineStr">
        <is>
          <t xml:space="preserve">標準書式の場合は現在の表示文字列から実際の小数桁数を数えて起点にする。</t>
        </is>
      </c>
      <c r="M8" t="inlineStr">
        <is>
          <t xml:space="preserve">TC-U-045</t>
        </is>
      </c>
    </row>
    <row r="9">
      <c r="A9" t="inlineStr">
        <is>
          <t xml:space="preserve">BUG-008</t>
        </is>
      </c>
      <c r="B9" t="inlineStr">
        <is>
          <t xml:space="preserve">CSV 出力時に数式インジェクション対策が行われていない</t>
        </is>
      </c>
      <c r="C9" t="inlineStr">
        <is>
          <t xml:space="preserve">ファイル入出力 / セキュリティ</t>
        </is>
      </c>
      <c r="D9" t="inlineStr">
        <is>
          <t xml:space="preserve">軽微(セキュリティ)</t>
        </is>
      </c>
      <c r="E9" t="inlineStr">
        <is>
          <t xml:space="preserve">中</t>
        </is>
      </c>
      <c r="F9" t="inlineStr">
        <is>
          <t xml:space="preserve">起票済(未修正)</t>
        </is>
      </c>
      <c r="G9" t="inlineStr">
        <is>
          <t xml:space="preserve">1. セルの表示形式を「文字列」にする / 2. =cmd|calc のように = で始まる文字列を入力する / 3. ファイル → エクスポート → CSV で書き出し、生成された CSV を確認する</t>
        </is>
      </c>
      <c r="H9" t="inlineStr">
        <is>
          <t xml:space="preserve">先頭の = が無害化される（先頭にシングルクォートを付与する等）</t>
        </is>
      </c>
      <c r="I9" t="e">
        <f>cmd|calc がそのまま出力される</f>
        <v>#NAME?</v>
      </c>
      <c r="J9" t="inlineStr">
        <is>
          <t xml:space="preserve">書き出した CSV を Excel など他の表計算ソフトで開いた利用者側で、意図しない数式として解釈される。信頼できない入力を含む表を CSV 配布する運用でリスクになる（OWASP の CSV Injection）。</t>
        </is>
      </c>
      <c r="K9" t="inlineStr">
        <is>
          <t xml:space="preserve">js/util.js:296 の csvEscape が区切り文字・引用符・改行のみを対象にしており、先頭が = + - @ の文字列を考慮していない。</t>
        </is>
      </c>
      <c r="L9" t="inlineStr">
        <is>
          <t xml:space="preserve">文字列セルの先頭が = + - @ の場合、先頭にシングルクォートを付ける、またはタブを前置して数式化を防ぐ。出力時のオプションとして提供してもよい。</t>
        </is>
      </c>
      <c r="M9" t="inlineStr">
        <is>
          <t xml:space="preserve">TC-F-020</t>
        </is>
      </c>
    </row>
    <row r="10">
      <c r="A10" t="inlineStr">
        <is>
          <t xml:space="preserve">BUG-009</t>
        </is>
      </c>
      <c r="B10" t="inlineStr">
        <is>
          <t xml:space="preserve">指数表記の仮数部が常に5桁固定で Excel の表示と一致しない</t>
        </is>
      </c>
      <c r="C10" t="inlineStr">
        <is>
          <t xml:space="preserve">表示形式</t>
        </is>
      </c>
      <c r="D10" t="inlineStr">
        <is>
          <t xml:space="preserve">軽微</t>
        </is>
      </c>
      <c r="E10" t="inlineStr">
        <is>
          <t xml:space="preserve">低</t>
        </is>
      </c>
      <c r="F10" t="inlineStr">
        <is>
          <t xml:space="preserve">起票済(未修正)</t>
        </is>
      </c>
      <c r="G10" t="inlineStr">
        <is>
          <t xml:space="preserve">1. A1 に =999999999999+1 を入力する / 2. A2 に 1e21 を入力する</t>
        </is>
      </c>
      <c r="H10" t="inlineStr">
        <is>
          <t xml:space="preserve">1E+12 / 1E+21（Excel は不要な 0 を表示しない）</t>
        </is>
      </c>
      <c r="I10" t="inlineStr">
        <is>
          <t xml:space="preserve">1.00000E+12 / 1.00000E+21</t>
        </is>
      </c>
      <c r="J10" t="inlineStr">
        <is>
          <t xml:space="preserve">大きな数を含む表の見た目が Excel と揃わない。xlsx で受け渡した際、同じ値でも画面表示が変わるため、目視突合の妨げになる。</t>
        </is>
      </c>
      <c r="K10" t="inlineStr">
        <is>
          <t xml:space="preserve">js/util.js:228 の generalFormat が toExponential(5) を固定で使用しており、有効桁に応じた桁数調整をしていない。</t>
        </is>
      </c>
      <c r="L10" t="inlineStr">
        <is>
          <t xml:space="preserve">仮数部の末尾 0 を落とす。指数部が2桁未満のときの 0 詰めは現行のまま維持する。</t>
        </is>
      </c>
      <c r="M10" t="inlineStr">
        <is>
          <t xml:space="preserve">TC-H-028 / TC-H-048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Exitcel</Application>
</Properties>
</file>

<file path=docProps/core.xml><?xml version="1.0" encoding="utf-8"?>
<cp:coreProperties xmlns:cp="http://schemas.openxmlformats.org/package/2006/metadata/core-properties" xmlns:dc="http://purl.org/dc/elements/1.1/" xmlns:dcterms="http://purl.org/dc/terms/" xmlns:xsi="http://www.w3.org/2001/XMLSchema-instance">
  <dc:title>新しいブック</dc:title>
  <dc:creator>Exitcel</dc:creator>
  <cp:lastModifiedBy>Exitcel</cp:lastModifiedBy>
  <dcterms:created xsi:type="dcterms:W3CDTF">2026-08-23T11:19:42Z</dcterms:created>
  <dcterms:modified xsi:type="dcterms:W3CDTF">2026-08-23T11:19:42Z</dcterms:modified>
</cp:coreProperties>
</file>